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3me7k\OneDrive - Siemens Energy\Desktop\Bid_Mgmt\Processes_Guidelines_Templates\10_Templates\01_General_Bid_Templates\"/>
    </mc:Choice>
  </mc:AlternateContent>
  <xr:revisionPtr revIDLastSave="0" documentId="13_ncr:1_{CEE7BD0E-BAB6-496D-9526-9AD78B05D5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M &amp; Common" sheetId="9" r:id="rId1"/>
    <sheet name="Workload Histogram" sheetId="17" r:id="rId2"/>
    <sheet name="DK Project Travel Cost" sheetId="10" r:id="rId3"/>
    <sheet name="GIS TPM+Eng Overview" sheetId="12" r:id="rId4"/>
    <sheet name="66kV GIS TPM+Eng" sheetId="13" r:id="rId5"/>
    <sheet name="275kV GIS TPM+Eng" sheetId="16" r:id="rId6"/>
  </sheets>
  <definedNames>
    <definedName name="a">'GIS TPM+Eng Overview'!$G$14</definedName>
    <definedName name="aa">'GIS TPM+Eng Overview'!$G$46</definedName>
    <definedName name="b">'GIS TPM+Eng Overview'!$G$15</definedName>
    <definedName name="bb">'GIS TPM+Eng Overview'!$G$47</definedName>
    <definedName name="d">'GIS TPM+Eng Overview'!$G$16</definedName>
    <definedName name="dd">'GIS TPM+Eng Overview'!$G$48</definedName>
    <definedName name="Doc_Controller" localSheetId="5">'275kV GIS TPM+Eng'!$G$117</definedName>
    <definedName name="Doc_Controller">'66kV GIS TPM+Eng'!$G$117</definedName>
    <definedName name="e">'GIS TPM+Eng Overview'!$G$17</definedName>
    <definedName name="ee">'GIS TPM+Eng Overview'!$G$49</definedName>
    <definedName name="ENG_Hours" localSheetId="5">'275kV GIS TPM+Eng'!$D$117</definedName>
    <definedName name="ENG_Hours" localSheetId="4">'66kV GIS TPM+Eng'!$D$117</definedName>
    <definedName name="ENG_Hours">'66kV GIS TPM+Eng'!$D$117</definedName>
    <definedName name="Engineer" localSheetId="5">'275kV GIS TPM+Eng'!$F$117</definedName>
    <definedName name="Engineer">'66kV GIS TPM+Eng'!$F$117</definedName>
    <definedName name="f">'GIS TPM+Eng Overview'!$G$18</definedName>
    <definedName name="ff">'GIS TPM+Eng Overview'!$G$50</definedName>
    <definedName name="g">'GIS TPM+Eng Overview'!$G$19</definedName>
    <definedName name="gg">'GIS TPM+Eng Overview'!$G$51</definedName>
    <definedName name="h">'GIS TPM+Eng Overview'!$G$20</definedName>
    <definedName name="hh">'GIS TPM+Eng Overview'!$G$52</definedName>
    <definedName name="i">'GIS TPM+Eng Overview'!$G$21</definedName>
    <definedName name="ii">'GIS TPM+Eng Overview'!$G$53</definedName>
    <definedName name="j">'GIS TPM+Eng Overview'!$G$22</definedName>
    <definedName name="jj">'GIS TPM+Eng Overview'!$G$54</definedName>
    <definedName name="k">'GIS TPM+Eng Overview'!$G$23</definedName>
    <definedName name="kk">'GIS TPM+Eng Overview'!$G$55</definedName>
    <definedName name="o">'GIS TPM+Eng Overview'!$G$13</definedName>
    <definedName name="oo">'GIS TPM+Eng Overview'!$G$45</definedName>
    <definedName name="_xlnm.Print_Area" localSheetId="3">'GIS TPM+Eng Overview'!$A$1:$O$66</definedName>
    <definedName name="q">'GIS TPM+Eng Overview'!$G$12</definedName>
    <definedName name="qq">'GIS TPM+Eng Overview'!$G$44</definedName>
    <definedName name="TPM" localSheetId="5">'275kV GIS TPM+Eng'!$E$117</definedName>
    <definedName name="TPM">'66kV GIS TPM+Eng'!$E$117</definedName>
    <definedName name="u">'GIS TPM+Eng Overview'!$G$9</definedName>
    <definedName name="uu">'GIS TPM+Eng Overview'!$G$41</definedName>
    <definedName name="v">'GIS TPM+Eng Overview'!$G$10</definedName>
    <definedName name="vv">'GIS TPM+Eng Overview'!$G$42</definedName>
    <definedName name="w">'GIS TPM+Eng Overview'!$G$11</definedName>
    <definedName name="ww">'GIS TPM+Eng Overview'!$G$43</definedName>
    <definedName name="x">'GIS TPM+Eng Overview'!$G$6</definedName>
    <definedName name="xx">'GIS TPM+Eng Overview'!$G$38</definedName>
    <definedName name="y">'GIS TPM+Eng Overview'!$G$8</definedName>
    <definedName name="yy">'GIS TPM+Eng Overview'!$G$40</definedName>
    <definedName name="z">'GIS TPM+Eng Overview'!$G$7</definedName>
    <definedName name="zz">'GIS TPM+Eng Overview'!$G$39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47" i="9" l="1"/>
  <c r="AL247" i="9"/>
  <c r="AK247" i="9"/>
  <c r="AJ247" i="9"/>
  <c r="AI247" i="9"/>
  <c r="AH247" i="9"/>
  <c r="AG247" i="9"/>
  <c r="AF247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M36" i="9"/>
  <c r="L36" i="9"/>
  <c r="C36" i="9"/>
  <c r="G18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B22" i="17"/>
  <c r="B21" i="17"/>
  <c r="B20" i="17"/>
  <c r="AQ198" i="9"/>
  <c r="AQ92" i="9"/>
  <c r="AQ49" i="9"/>
  <c r="AQ171" i="9"/>
  <c r="AQ141" i="9"/>
  <c r="AQ178" i="9"/>
  <c r="AQ124" i="9"/>
  <c r="AQ239" i="9"/>
  <c r="AQ161" i="9"/>
  <c r="AQ151" i="9"/>
  <c r="AQ18" i="9"/>
  <c r="Q193" i="9"/>
  <c r="I193" i="9"/>
  <c r="H193" i="9"/>
  <c r="E193" i="9"/>
  <c r="D193" i="9"/>
  <c r="AM193" i="9"/>
  <c r="AL193" i="9"/>
  <c r="AK193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P193" i="9"/>
  <c r="O193" i="9"/>
  <c r="N193" i="9"/>
  <c r="M193" i="9"/>
  <c r="L193" i="9"/>
  <c r="K193" i="9"/>
  <c r="J193" i="9"/>
  <c r="G193" i="9"/>
  <c r="F193" i="9"/>
  <c r="C193" i="9"/>
  <c r="Z189" i="9"/>
  <c r="K189" i="9"/>
  <c r="H189" i="9"/>
  <c r="G189" i="9"/>
  <c r="D189" i="9"/>
  <c r="C189" i="9"/>
  <c r="AM189" i="9"/>
  <c r="AL189" i="9"/>
  <c r="AK189" i="9"/>
  <c r="AJ189" i="9"/>
  <c r="AI189" i="9"/>
  <c r="AH189" i="9"/>
  <c r="AG189" i="9"/>
  <c r="AF189" i="9"/>
  <c r="AE189" i="9"/>
  <c r="AD189" i="9"/>
  <c r="AC189" i="9"/>
  <c r="AB189" i="9"/>
  <c r="AA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J189" i="9"/>
  <c r="I189" i="9"/>
  <c r="F189" i="9"/>
  <c r="E189" i="9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F18" i="17"/>
  <c r="E18" i="17"/>
  <c r="D18" i="17"/>
  <c r="C18" i="17"/>
  <c r="B18" i="17"/>
  <c r="AQ245" i="9"/>
  <c r="AQ244" i="9"/>
  <c r="AP245" i="9"/>
  <c r="AP244" i="9"/>
  <c r="D234" i="9"/>
  <c r="E234" i="9"/>
  <c r="F234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AJ234" i="9"/>
  <c r="AK234" i="9"/>
  <c r="AL234" i="9"/>
  <c r="AM234" i="9"/>
  <c r="C234" i="9"/>
  <c r="D229" i="9"/>
  <c r="E229" i="9"/>
  <c r="F229" i="9"/>
  <c r="G229" i="9"/>
  <c r="H229" i="9"/>
  <c r="I229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AJ229" i="9"/>
  <c r="AK229" i="9"/>
  <c r="AL229" i="9"/>
  <c r="AM229" i="9"/>
  <c r="C229" i="9"/>
  <c r="D224" i="9"/>
  <c r="E224" i="9"/>
  <c r="F224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AJ224" i="9"/>
  <c r="AK224" i="9"/>
  <c r="AL224" i="9"/>
  <c r="AM224" i="9"/>
  <c r="C224" i="9"/>
  <c r="D219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AI219" i="9"/>
  <c r="AJ219" i="9"/>
  <c r="AK219" i="9"/>
  <c r="AL219" i="9"/>
  <c r="AM219" i="9"/>
  <c r="C219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AJ214" i="9"/>
  <c r="AK214" i="9"/>
  <c r="AL214" i="9"/>
  <c r="AM214" i="9"/>
  <c r="C214" i="9"/>
  <c r="D135" i="9"/>
  <c r="C10" i="17" s="1"/>
  <c r="E135" i="9"/>
  <c r="D10" i="17" s="1"/>
  <c r="F135" i="9"/>
  <c r="E10" i="17" s="1"/>
  <c r="G135" i="9"/>
  <c r="F10" i="17" s="1"/>
  <c r="H135" i="9"/>
  <c r="G10" i="17" s="1"/>
  <c r="I135" i="9"/>
  <c r="H10" i="17" s="1"/>
  <c r="J135" i="9"/>
  <c r="I10" i="17" s="1"/>
  <c r="K135" i="9"/>
  <c r="J10" i="17" s="1"/>
  <c r="L135" i="9"/>
  <c r="K10" i="17" s="1"/>
  <c r="M135" i="9"/>
  <c r="L10" i="17" s="1"/>
  <c r="N135" i="9"/>
  <c r="M10" i="17" s="1"/>
  <c r="O135" i="9"/>
  <c r="N10" i="17" s="1"/>
  <c r="P135" i="9"/>
  <c r="O10" i="17" s="1"/>
  <c r="Q135" i="9"/>
  <c r="P10" i="17" s="1"/>
  <c r="R135" i="9"/>
  <c r="Q10" i="17" s="1"/>
  <c r="S135" i="9"/>
  <c r="R10" i="17" s="1"/>
  <c r="T135" i="9"/>
  <c r="S10" i="17" s="1"/>
  <c r="U135" i="9"/>
  <c r="T10" i="17" s="1"/>
  <c r="V135" i="9"/>
  <c r="U10" i="17" s="1"/>
  <c r="W135" i="9"/>
  <c r="V10" i="17" s="1"/>
  <c r="X135" i="9"/>
  <c r="W10" i="17" s="1"/>
  <c r="Y135" i="9"/>
  <c r="X10" i="17" s="1"/>
  <c r="Z135" i="9"/>
  <c r="Y10" i="17" s="1"/>
  <c r="AA135" i="9"/>
  <c r="Z10" i="17" s="1"/>
  <c r="AB135" i="9"/>
  <c r="AA10" i="17" s="1"/>
  <c r="AC135" i="9"/>
  <c r="AB10" i="17" s="1"/>
  <c r="AD135" i="9"/>
  <c r="AC10" i="17" s="1"/>
  <c r="AE135" i="9"/>
  <c r="AD10" i="17" s="1"/>
  <c r="AF135" i="9"/>
  <c r="AE10" i="17" s="1"/>
  <c r="AG135" i="9"/>
  <c r="AF10" i="17" s="1"/>
  <c r="AH135" i="9"/>
  <c r="AG10" i="17" s="1"/>
  <c r="AI135" i="9"/>
  <c r="AH10" i="17" s="1"/>
  <c r="AJ135" i="9"/>
  <c r="AI10" i="17" s="1"/>
  <c r="AK135" i="9"/>
  <c r="AJ10" i="17" s="1"/>
  <c r="AL135" i="9"/>
  <c r="AK10" i="17" s="1"/>
  <c r="AM135" i="9"/>
  <c r="AL10" i="17" s="1"/>
  <c r="C135" i="9"/>
  <c r="B10" i="17" s="1"/>
  <c r="D124" i="9"/>
  <c r="C9" i="17" s="1"/>
  <c r="E124" i="9"/>
  <c r="D9" i="17" s="1"/>
  <c r="F124" i="9"/>
  <c r="E9" i="17" s="1"/>
  <c r="G124" i="9"/>
  <c r="F9" i="17" s="1"/>
  <c r="H124" i="9"/>
  <c r="G9" i="17" s="1"/>
  <c r="I124" i="9"/>
  <c r="H9" i="17" s="1"/>
  <c r="J124" i="9"/>
  <c r="I9" i="17" s="1"/>
  <c r="K124" i="9"/>
  <c r="J9" i="17" s="1"/>
  <c r="L124" i="9"/>
  <c r="K9" i="17" s="1"/>
  <c r="M124" i="9"/>
  <c r="L9" i="17" s="1"/>
  <c r="N124" i="9"/>
  <c r="M9" i="17" s="1"/>
  <c r="O124" i="9"/>
  <c r="N9" i="17" s="1"/>
  <c r="P124" i="9"/>
  <c r="O9" i="17" s="1"/>
  <c r="Q124" i="9"/>
  <c r="P9" i="17" s="1"/>
  <c r="R124" i="9"/>
  <c r="Q9" i="17" s="1"/>
  <c r="S124" i="9"/>
  <c r="R9" i="17" s="1"/>
  <c r="T124" i="9"/>
  <c r="S9" i="17" s="1"/>
  <c r="U124" i="9"/>
  <c r="T9" i="17" s="1"/>
  <c r="V124" i="9"/>
  <c r="U9" i="17" s="1"/>
  <c r="W124" i="9"/>
  <c r="V9" i="17" s="1"/>
  <c r="X124" i="9"/>
  <c r="W9" i="17" s="1"/>
  <c r="Y124" i="9"/>
  <c r="X9" i="17" s="1"/>
  <c r="Z124" i="9"/>
  <c r="Y9" i="17" s="1"/>
  <c r="AA124" i="9"/>
  <c r="Z9" i="17" s="1"/>
  <c r="AB124" i="9"/>
  <c r="AA9" i="17" s="1"/>
  <c r="AC124" i="9"/>
  <c r="AB9" i="17" s="1"/>
  <c r="AD124" i="9"/>
  <c r="AC9" i="17" s="1"/>
  <c r="AE124" i="9"/>
  <c r="AD9" i="17" s="1"/>
  <c r="AF124" i="9"/>
  <c r="AE9" i="17" s="1"/>
  <c r="AG124" i="9"/>
  <c r="AF9" i="17" s="1"/>
  <c r="AH124" i="9"/>
  <c r="AG9" i="17" s="1"/>
  <c r="AI124" i="9"/>
  <c r="AH9" i="17" s="1"/>
  <c r="AJ124" i="9"/>
  <c r="AI9" i="17" s="1"/>
  <c r="AK124" i="9"/>
  <c r="AJ9" i="17" s="1"/>
  <c r="AL124" i="9"/>
  <c r="AK9" i="17" s="1"/>
  <c r="AM124" i="9"/>
  <c r="AL9" i="17" s="1"/>
  <c r="C124" i="9"/>
  <c r="B9" i="17" s="1"/>
  <c r="AO122" i="9"/>
  <c r="AO121" i="9"/>
  <c r="AO120" i="9"/>
  <c r="AO119" i="9"/>
  <c r="D118" i="9"/>
  <c r="C8" i="17" s="1"/>
  <c r="E118" i="9"/>
  <c r="D8" i="17" s="1"/>
  <c r="F118" i="9"/>
  <c r="E8" i="17" s="1"/>
  <c r="G118" i="9"/>
  <c r="F8" i="17" s="1"/>
  <c r="H118" i="9"/>
  <c r="G8" i="17" s="1"/>
  <c r="I118" i="9"/>
  <c r="H8" i="17" s="1"/>
  <c r="J118" i="9"/>
  <c r="I8" i="17" s="1"/>
  <c r="K118" i="9"/>
  <c r="J8" i="17" s="1"/>
  <c r="L118" i="9"/>
  <c r="K8" i="17" s="1"/>
  <c r="M118" i="9"/>
  <c r="L8" i="17" s="1"/>
  <c r="N118" i="9"/>
  <c r="M8" i="17" s="1"/>
  <c r="O118" i="9"/>
  <c r="N8" i="17" s="1"/>
  <c r="P118" i="9"/>
  <c r="O8" i="17" s="1"/>
  <c r="Q118" i="9"/>
  <c r="P8" i="17" s="1"/>
  <c r="R118" i="9"/>
  <c r="Q8" i="17" s="1"/>
  <c r="S118" i="9"/>
  <c r="R8" i="17" s="1"/>
  <c r="T118" i="9"/>
  <c r="S8" i="17" s="1"/>
  <c r="U118" i="9"/>
  <c r="T8" i="17" s="1"/>
  <c r="V118" i="9"/>
  <c r="U8" i="17" s="1"/>
  <c r="W118" i="9"/>
  <c r="V8" i="17" s="1"/>
  <c r="X118" i="9"/>
  <c r="W8" i="17" s="1"/>
  <c r="Y118" i="9"/>
  <c r="X8" i="17" s="1"/>
  <c r="Z118" i="9"/>
  <c r="Y8" i="17" s="1"/>
  <c r="AA118" i="9"/>
  <c r="Z8" i="17" s="1"/>
  <c r="AB118" i="9"/>
  <c r="AA8" i="17" s="1"/>
  <c r="AC118" i="9"/>
  <c r="AB8" i="17" s="1"/>
  <c r="AD118" i="9"/>
  <c r="AC8" i="17" s="1"/>
  <c r="AE118" i="9"/>
  <c r="AD8" i="17" s="1"/>
  <c r="AF118" i="9"/>
  <c r="AE8" i="17" s="1"/>
  <c r="AG118" i="9"/>
  <c r="AF8" i="17" s="1"/>
  <c r="AH118" i="9"/>
  <c r="AG8" i="17" s="1"/>
  <c r="AI118" i="9"/>
  <c r="AH8" i="17" s="1"/>
  <c r="AJ118" i="9"/>
  <c r="AI8" i="17" s="1"/>
  <c r="AK118" i="9"/>
  <c r="AJ8" i="17" s="1"/>
  <c r="AL118" i="9"/>
  <c r="AK8" i="17" s="1"/>
  <c r="AM118" i="9"/>
  <c r="AL8" i="17" s="1"/>
  <c r="C118" i="9"/>
  <c r="B8" i="17" s="1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C101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C100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C83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C75" i="9"/>
  <c r="D57" i="9"/>
  <c r="D56" i="9" s="1"/>
  <c r="E57" i="9"/>
  <c r="E56" i="9" s="1"/>
  <c r="F57" i="9"/>
  <c r="F56" i="9" s="1"/>
  <c r="G57" i="9"/>
  <c r="G56" i="9" s="1"/>
  <c r="H57" i="9"/>
  <c r="H56" i="9" s="1"/>
  <c r="I57" i="9"/>
  <c r="I56" i="9" s="1"/>
  <c r="J57" i="9"/>
  <c r="J56" i="9" s="1"/>
  <c r="K57" i="9"/>
  <c r="K56" i="9" s="1"/>
  <c r="L57" i="9"/>
  <c r="L56" i="9" s="1"/>
  <c r="M57" i="9"/>
  <c r="M56" i="9" s="1"/>
  <c r="N57" i="9"/>
  <c r="N56" i="9" s="1"/>
  <c r="O57" i="9"/>
  <c r="O56" i="9" s="1"/>
  <c r="P57" i="9"/>
  <c r="P56" i="9" s="1"/>
  <c r="Q57" i="9"/>
  <c r="Q56" i="9" s="1"/>
  <c r="R57" i="9"/>
  <c r="R56" i="9" s="1"/>
  <c r="S57" i="9"/>
  <c r="S56" i="9" s="1"/>
  <c r="T57" i="9"/>
  <c r="T56" i="9" s="1"/>
  <c r="U57" i="9"/>
  <c r="U56" i="9" s="1"/>
  <c r="V57" i="9"/>
  <c r="V56" i="9" s="1"/>
  <c r="W57" i="9"/>
  <c r="W56" i="9" s="1"/>
  <c r="X57" i="9"/>
  <c r="X56" i="9" s="1"/>
  <c r="Y57" i="9"/>
  <c r="Y56" i="9" s="1"/>
  <c r="Z57" i="9"/>
  <c r="Z56" i="9" s="1"/>
  <c r="AA57" i="9"/>
  <c r="AA56" i="9" s="1"/>
  <c r="AB57" i="9"/>
  <c r="AB56" i="9" s="1"/>
  <c r="AC57" i="9"/>
  <c r="AC56" i="9" s="1"/>
  <c r="AD57" i="9"/>
  <c r="AD56" i="9" s="1"/>
  <c r="AE57" i="9"/>
  <c r="AE56" i="9" s="1"/>
  <c r="AF57" i="9"/>
  <c r="AF56" i="9" s="1"/>
  <c r="AG57" i="9"/>
  <c r="AG56" i="9" s="1"/>
  <c r="AH57" i="9"/>
  <c r="AH56" i="9" s="1"/>
  <c r="AI57" i="9"/>
  <c r="AI56" i="9" s="1"/>
  <c r="AJ57" i="9"/>
  <c r="AJ56" i="9" s="1"/>
  <c r="AK57" i="9"/>
  <c r="AK56" i="9" s="1"/>
  <c r="AL57" i="9"/>
  <c r="AL56" i="9" s="1"/>
  <c r="AM57" i="9"/>
  <c r="AM56" i="9" s="1"/>
  <c r="C57" i="9"/>
  <c r="C56" i="9" s="1"/>
  <c r="AO46" i="9"/>
  <c r="AO45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D113" i="16"/>
  <c r="D61" i="16"/>
  <c r="D59" i="16"/>
  <c r="D55" i="16"/>
  <c r="D54" i="16"/>
  <c r="D49" i="16"/>
  <c r="D47" i="16"/>
  <c r="D46" i="16"/>
  <c r="D45" i="16"/>
  <c r="D44" i="16"/>
  <c r="D43" i="16"/>
  <c r="D41" i="16"/>
  <c r="F41" i="16" s="1"/>
  <c r="D40" i="16"/>
  <c r="D42" i="16"/>
  <c r="D39" i="16"/>
  <c r="D38" i="16"/>
  <c r="D37" i="16"/>
  <c r="D36" i="16"/>
  <c r="D35" i="16"/>
  <c r="D34" i="16"/>
  <c r="D24" i="16"/>
  <c r="D10" i="16"/>
  <c r="D59" i="13"/>
  <c r="D42" i="13"/>
  <c r="D39" i="13"/>
  <c r="D38" i="13"/>
  <c r="D37" i="13"/>
  <c r="D36" i="13"/>
  <c r="D35" i="13"/>
  <c r="D34" i="13"/>
  <c r="D24" i="13"/>
  <c r="D10" i="13"/>
  <c r="Q188" i="9" l="1"/>
  <c r="P16" i="17" s="1"/>
  <c r="I188" i="9"/>
  <c r="H16" i="17" s="1"/>
  <c r="R188" i="9"/>
  <c r="Q16" i="17" s="1"/>
  <c r="AA188" i="9"/>
  <c r="Z16" i="17" s="1"/>
  <c r="AI188" i="9"/>
  <c r="AH16" i="17" s="1"/>
  <c r="S188" i="9"/>
  <c r="R16" i="17" s="1"/>
  <c r="J188" i="9"/>
  <c r="I16" i="17" s="1"/>
  <c r="V188" i="9"/>
  <c r="U16" i="17" s="1"/>
  <c r="P188" i="9"/>
  <c r="O16" i="17" s="1"/>
  <c r="AG188" i="9"/>
  <c r="AF16" i="17" s="1"/>
  <c r="AN9" i="17"/>
  <c r="AN10" i="17"/>
  <c r="L188" i="9"/>
  <c r="K16" i="17" s="1"/>
  <c r="AC188" i="9"/>
  <c r="AB16" i="17" s="1"/>
  <c r="AK188" i="9"/>
  <c r="AJ16" i="17" s="1"/>
  <c r="AB188" i="9"/>
  <c r="AA16" i="17" s="1"/>
  <c r="AJ188" i="9"/>
  <c r="AI16" i="17" s="1"/>
  <c r="N188" i="9"/>
  <c r="M16" i="17" s="1"/>
  <c r="AE188" i="9"/>
  <c r="AD16" i="17" s="1"/>
  <c r="AM188" i="9"/>
  <c r="AL16" i="17" s="1"/>
  <c r="Y188" i="9"/>
  <c r="X16" i="17" s="1"/>
  <c r="O188" i="9"/>
  <c r="N16" i="17" s="1"/>
  <c r="W188" i="9"/>
  <c r="V16" i="17" s="1"/>
  <c r="AF188" i="9"/>
  <c r="AE16" i="17" s="1"/>
  <c r="AN8" i="17"/>
  <c r="AN22" i="17"/>
  <c r="AN21" i="17"/>
  <c r="AN18" i="17"/>
  <c r="AN20" i="17"/>
  <c r="H188" i="9"/>
  <c r="G16" i="17" s="1"/>
  <c r="Z188" i="9"/>
  <c r="Y16" i="17" s="1"/>
  <c r="M188" i="9"/>
  <c r="L16" i="17" s="1"/>
  <c r="AD188" i="9"/>
  <c r="AC16" i="17" s="1"/>
  <c r="AH188" i="9"/>
  <c r="AG16" i="17" s="1"/>
  <c r="AL188" i="9"/>
  <c r="AK16" i="17" s="1"/>
  <c r="G188" i="9"/>
  <c r="F16" i="17" s="1"/>
  <c r="T188" i="9"/>
  <c r="S16" i="17" s="1"/>
  <c r="X188" i="9"/>
  <c r="W16" i="17" s="1"/>
  <c r="D188" i="9"/>
  <c r="C16" i="17" s="1"/>
  <c r="C188" i="9"/>
  <c r="K188" i="9"/>
  <c r="J16" i="17" s="1"/>
  <c r="E188" i="9"/>
  <c r="D16" i="17" s="1"/>
  <c r="F188" i="9"/>
  <c r="E16" i="17" s="1"/>
  <c r="U188" i="9"/>
  <c r="T16" i="17" s="1"/>
  <c r="AO193" i="9"/>
  <c r="AO189" i="9"/>
  <c r="AP239" i="9"/>
  <c r="AS239" i="9" s="1"/>
  <c r="AN229" i="9"/>
  <c r="AN214" i="9"/>
  <c r="AN219" i="9"/>
  <c r="AN224" i="9"/>
  <c r="AN234" i="9"/>
  <c r="AR245" i="9"/>
  <c r="AR244" i="9"/>
  <c r="AS244" i="9"/>
  <c r="AS245" i="9"/>
  <c r="AP135" i="9"/>
  <c r="AS135" i="9" s="1"/>
  <c r="AP124" i="9"/>
  <c r="AR124" i="9" s="1"/>
  <c r="AP118" i="9"/>
  <c r="AS118" i="9" s="1"/>
  <c r="AO101" i="9"/>
  <c r="AO56" i="9"/>
  <c r="C50" i="9"/>
  <c r="AO58" i="9"/>
  <c r="D113" i="13"/>
  <c r="D61" i="13"/>
  <c r="D55" i="13"/>
  <c r="D54" i="13"/>
  <c r="D49" i="13"/>
  <c r="D47" i="13"/>
  <c r="D46" i="13"/>
  <c r="D45" i="13"/>
  <c r="D44" i="13"/>
  <c r="D43" i="13"/>
  <c r="D41" i="13"/>
  <c r="F41" i="13" s="1"/>
  <c r="D40" i="13"/>
  <c r="AP188" i="9" l="1"/>
  <c r="AS188" i="9" s="1"/>
  <c r="B16" i="17"/>
  <c r="AN16" i="17" s="1"/>
  <c r="AR239" i="9"/>
  <c r="AS124" i="9"/>
  <c r="AR135" i="9"/>
  <c r="AR118" i="9"/>
  <c r="AO50" i="9"/>
  <c r="C32" i="9"/>
  <c r="C39" i="9"/>
  <c r="C62" i="9"/>
  <c r="C69" i="9"/>
  <c r="D19" i="9"/>
  <c r="D39" i="9"/>
  <c r="D62" i="9"/>
  <c r="D69" i="9"/>
  <c r="E19" i="9"/>
  <c r="E39" i="9"/>
  <c r="E62" i="9"/>
  <c r="E69" i="9"/>
  <c r="F19" i="9"/>
  <c r="F39" i="9"/>
  <c r="F62" i="9"/>
  <c r="F69" i="9"/>
  <c r="G19" i="9"/>
  <c r="G36" i="9"/>
  <c r="G39" i="9"/>
  <c r="G62" i="9"/>
  <c r="G69" i="9"/>
  <c r="H19" i="9"/>
  <c r="H32" i="9"/>
  <c r="H36" i="9"/>
  <c r="H39" i="9"/>
  <c r="H62" i="9"/>
  <c r="H69" i="9"/>
  <c r="I19" i="9"/>
  <c r="I39" i="9"/>
  <c r="I62" i="9"/>
  <c r="I69" i="9"/>
  <c r="J19" i="9"/>
  <c r="J39" i="9"/>
  <c r="J62" i="9"/>
  <c r="J69" i="9"/>
  <c r="K19" i="9"/>
  <c r="K39" i="9"/>
  <c r="K62" i="9"/>
  <c r="K69" i="9"/>
  <c r="L19" i="9"/>
  <c r="L39" i="9"/>
  <c r="L62" i="9"/>
  <c r="L69" i="9"/>
  <c r="M19" i="9"/>
  <c r="M32" i="9"/>
  <c r="M39" i="9"/>
  <c r="M62" i="9"/>
  <c r="M69" i="9"/>
  <c r="N19" i="9"/>
  <c r="N39" i="9"/>
  <c r="N62" i="9"/>
  <c r="N69" i="9"/>
  <c r="O19" i="9"/>
  <c r="O32" i="9"/>
  <c r="O39" i="9"/>
  <c r="O62" i="9"/>
  <c r="O69" i="9"/>
  <c r="P19" i="9"/>
  <c r="P39" i="9"/>
  <c r="P62" i="9"/>
  <c r="P69" i="9"/>
  <c r="Q19" i="9"/>
  <c r="Q32" i="9"/>
  <c r="Q39" i="9"/>
  <c r="Q62" i="9"/>
  <c r="Q69" i="9"/>
  <c r="R19" i="9"/>
  <c r="R39" i="9"/>
  <c r="R62" i="9"/>
  <c r="R69" i="9"/>
  <c r="S19" i="9"/>
  <c r="S32" i="9"/>
  <c r="S36" i="9"/>
  <c r="S39" i="9"/>
  <c r="S62" i="9"/>
  <c r="S69" i="9"/>
  <c r="T19" i="9"/>
  <c r="T32" i="9"/>
  <c r="T36" i="9"/>
  <c r="T39" i="9"/>
  <c r="T62" i="9"/>
  <c r="T69" i="9"/>
  <c r="U19" i="9"/>
  <c r="U32" i="9"/>
  <c r="U36" i="9"/>
  <c r="U39" i="9"/>
  <c r="U62" i="9"/>
  <c r="U69" i="9"/>
  <c r="V19" i="9"/>
  <c r="V32" i="9"/>
  <c r="V36" i="9"/>
  <c r="V39" i="9"/>
  <c r="V62" i="9"/>
  <c r="V69" i="9"/>
  <c r="W19" i="9"/>
  <c r="W32" i="9"/>
  <c r="W36" i="9"/>
  <c r="W39" i="9"/>
  <c r="W62" i="9"/>
  <c r="W69" i="9"/>
  <c r="X19" i="9"/>
  <c r="X32" i="9"/>
  <c r="X36" i="9"/>
  <c r="X39" i="9"/>
  <c r="X62" i="9"/>
  <c r="X69" i="9"/>
  <c r="Y19" i="9"/>
  <c r="Y32" i="9"/>
  <c r="Y36" i="9"/>
  <c r="Y39" i="9"/>
  <c r="Y62" i="9"/>
  <c r="Y69" i="9"/>
  <c r="Z19" i="9"/>
  <c r="Z32" i="9"/>
  <c r="Z39" i="9"/>
  <c r="Z62" i="9"/>
  <c r="Z69" i="9"/>
  <c r="AA19" i="9"/>
  <c r="AA32" i="9"/>
  <c r="AA39" i="9"/>
  <c r="AA62" i="9"/>
  <c r="AA69" i="9"/>
  <c r="AB19" i="9"/>
  <c r="AB32" i="9"/>
  <c r="AB36" i="9"/>
  <c r="AB39" i="9"/>
  <c r="AB62" i="9"/>
  <c r="AB69" i="9"/>
  <c r="AC19" i="9"/>
  <c r="AC32" i="9"/>
  <c r="AC36" i="9"/>
  <c r="AC39" i="9"/>
  <c r="AC62" i="9"/>
  <c r="AC69" i="9"/>
  <c r="AD19" i="9"/>
  <c r="AD32" i="9"/>
  <c r="AD36" i="9"/>
  <c r="AD39" i="9"/>
  <c r="AD62" i="9"/>
  <c r="AD69" i="9"/>
  <c r="AE19" i="9"/>
  <c r="AE32" i="9"/>
  <c r="AE36" i="9"/>
  <c r="AE39" i="9"/>
  <c r="AE62" i="9"/>
  <c r="AE69" i="9"/>
  <c r="AF19" i="9"/>
  <c r="AF32" i="9"/>
  <c r="AF39" i="9"/>
  <c r="AF62" i="9"/>
  <c r="AF69" i="9"/>
  <c r="AG19" i="9"/>
  <c r="AG32" i="9"/>
  <c r="AG39" i="9"/>
  <c r="AG62" i="9"/>
  <c r="AG69" i="9"/>
  <c r="AH19" i="9"/>
  <c r="AH32" i="9"/>
  <c r="AH39" i="9"/>
  <c r="AH62" i="9"/>
  <c r="AH69" i="9"/>
  <c r="AI19" i="9"/>
  <c r="AI32" i="9"/>
  <c r="AI39" i="9"/>
  <c r="AI62" i="9"/>
  <c r="AI69" i="9"/>
  <c r="AJ19" i="9"/>
  <c r="AJ32" i="9"/>
  <c r="AJ36" i="9"/>
  <c r="AJ39" i="9"/>
  <c r="AJ62" i="9"/>
  <c r="AJ69" i="9"/>
  <c r="AK19" i="9"/>
  <c r="AK32" i="9"/>
  <c r="AK36" i="9"/>
  <c r="AK39" i="9"/>
  <c r="AK62" i="9"/>
  <c r="AK69" i="9"/>
  <c r="AL19" i="9"/>
  <c r="AL32" i="9"/>
  <c r="AL36" i="9"/>
  <c r="AL39" i="9"/>
  <c r="AL62" i="9"/>
  <c r="AL69" i="9"/>
  <c r="AM19" i="9"/>
  <c r="AM32" i="9"/>
  <c r="AM36" i="9"/>
  <c r="AM39" i="9"/>
  <c r="AM62" i="9"/>
  <c r="AM69" i="9"/>
  <c r="C151" i="9"/>
  <c r="B12" i="17" s="1"/>
  <c r="H151" i="9"/>
  <c r="G12" i="17" s="1"/>
  <c r="M151" i="9"/>
  <c r="L12" i="17" s="1"/>
  <c r="O151" i="9"/>
  <c r="N12" i="17" s="1"/>
  <c r="Q151" i="9"/>
  <c r="P12" i="17" s="1"/>
  <c r="S151" i="9"/>
  <c r="R12" i="17" s="1"/>
  <c r="T151" i="9"/>
  <c r="S12" i="17" s="1"/>
  <c r="U151" i="9"/>
  <c r="T12" i="17" s="1"/>
  <c r="V151" i="9"/>
  <c r="U12" i="17" s="1"/>
  <c r="W151" i="9"/>
  <c r="V12" i="17" s="1"/>
  <c r="X151" i="9"/>
  <c r="W12" i="17" s="1"/>
  <c r="Y151" i="9"/>
  <c r="X12" i="17" s="1"/>
  <c r="Z151" i="9"/>
  <c r="Y12" i="17" s="1"/>
  <c r="AA151" i="9"/>
  <c r="Z12" i="17" s="1"/>
  <c r="AB151" i="9"/>
  <c r="AA12" i="17" s="1"/>
  <c r="AC151" i="9"/>
  <c r="AB12" i="17" s="1"/>
  <c r="AD151" i="9"/>
  <c r="AC12" i="17" s="1"/>
  <c r="AE151" i="9"/>
  <c r="AD12" i="17" s="1"/>
  <c r="AF151" i="9"/>
  <c r="AE12" i="17" s="1"/>
  <c r="AG151" i="9"/>
  <c r="AF12" i="17" s="1"/>
  <c r="AH151" i="9"/>
  <c r="AG12" i="17" s="1"/>
  <c r="AI151" i="9"/>
  <c r="AH12" i="17" s="1"/>
  <c r="AJ151" i="9"/>
  <c r="AI12" i="17" s="1"/>
  <c r="AK151" i="9"/>
  <c r="AJ12" i="17" s="1"/>
  <c r="AL151" i="9"/>
  <c r="AK12" i="17" s="1"/>
  <c r="AM151" i="9"/>
  <c r="AL12" i="17" s="1"/>
  <c r="C171" i="9"/>
  <c r="B14" i="17" s="1"/>
  <c r="H171" i="9"/>
  <c r="G14" i="17" s="1"/>
  <c r="M171" i="9"/>
  <c r="L14" i="17" s="1"/>
  <c r="O171" i="9"/>
  <c r="N14" i="17" s="1"/>
  <c r="Q171" i="9"/>
  <c r="P14" i="17" s="1"/>
  <c r="S171" i="9"/>
  <c r="R14" i="17" s="1"/>
  <c r="T171" i="9"/>
  <c r="S14" i="17" s="1"/>
  <c r="U171" i="9"/>
  <c r="T14" i="17" s="1"/>
  <c r="V171" i="9"/>
  <c r="U14" i="17" s="1"/>
  <c r="W171" i="9"/>
  <c r="V14" i="17" s="1"/>
  <c r="X171" i="9"/>
  <c r="W14" i="17" s="1"/>
  <c r="Y171" i="9"/>
  <c r="X14" i="17" s="1"/>
  <c r="Z171" i="9"/>
  <c r="Y14" i="17" s="1"/>
  <c r="AA171" i="9"/>
  <c r="Z14" i="17" s="1"/>
  <c r="AB171" i="9"/>
  <c r="AA14" i="17" s="1"/>
  <c r="AC171" i="9"/>
  <c r="AB14" i="17" s="1"/>
  <c r="AD171" i="9"/>
  <c r="AC14" i="17" s="1"/>
  <c r="AE171" i="9"/>
  <c r="AD14" i="17" s="1"/>
  <c r="AF171" i="9"/>
  <c r="AE14" i="17" s="1"/>
  <c r="AG171" i="9"/>
  <c r="AF14" i="17" s="1"/>
  <c r="AH171" i="9"/>
  <c r="AG14" i="17" s="1"/>
  <c r="AI171" i="9"/>
  <c r="AH14" i="17" s="1"/>
  <c r="AJ171" i="9"/>
  <c r="AI14" i="17" s="1"/>
  <c r="AK171" i="9"/>
  <c r="AJ14" i="17" s="1"/>
  <c r="AL171" i="9"/>
  <c r="AK14" i="17" s="1"/>
  <c r="AM171" i="9"/>
  <c r="AL14" i="17" s="1"/>
  <c r="AO47" i="9"/>
  <c r="D26" i="10"/>
  <c r="C37" i="10" s="1"/>
  <c r="D37" i="10" s="1"/>
  <c r="B26" i="10"/>
  <c r="C29" i="10" s="1"/>
  <c r="D29" i="10" s="1"/>
  <c r="AM111" i="9"/>
  <c r="AL111" i="9"/>
  <c r="AK111" i="9"/>
  <c r="AJ111" i="9"/>
  <c r="AI111" i="9"/>
  <c r="AH111" i="9"/>
  <c r="AG111" i="9"/>
  <c r="AF111" i="9"/>
  <c r="AE111" i="9"/>
  <c r="AD111" i="9"/>
  <c r="AC111" i="9"/>
  <c r="Z111" i="9"/>
  <c r="U111" i="9"/>
  <c r="Q111" i="9"/>
  <c r="P111" i="9"/>
  <c r="O111" i="9"/>
  <c r="N111" i="9"/>
  <c r="M111" i="9"/>
  <c r="L111" i="9"/>
  <c r="C111" i="9"/>
  <c r="Y111" i="9"/>
  <c r="X111" i="9"/>
  <c r="W111" i="9"/>
  <c r="V111" i="9"/>
  <c r="AB111" i="9"/>
  <c r="AA111" i="9"/>
  <c r="R111" i="9"/>
  <c r="K111" i="9"/>
  <c r="J111" i="9"/>
  <c r="H111" i="9"/>
  <c r="Z105" i="9"/>
  <c r="Y105" i="9"/>
  <c r="X105" i="9"/>
  <c r="W105" i="9"/>
  <c r="V105" i="9"/>
  <c r="K105" i="9"/>
  <c r="I105" i="9"/>
  <c r="H105" i="9"/>
  <c r="AI99" i="9"/>
  <c r="AH99" i="9"/>
  <c r="AG99" i="9"/>
  <c r="AF99" i="9"/>
  <c r="AA99" i="9"/>
  <c r="Z99" i="9"/>
  <c r="Y99" i="9"/>
  <c r="X99" i="9"/>
  <c r="W99" i="9"/>
  <c r="V99" i="9"/>
  <c r="U99" i="9"/>
  <c r="T99" i="9"/>
  <c r="AD208" i="9"/>
  <c r="AE208" i="9"/>
  <c r="AF208" i="9"/>
  <c r="AG208" i="9"/>
  <c r="AH208" i="9"/>
  <c r="AI208" i="9"/>
  <c r="AJ208" i="9"/>
  <c r="AK208" i="9"/>
  <c r="AL208" i="9"/>
  <c r="AM208" i="9"/>
  <c r="AD202" i="9"/>
  <c r="AE202" i="9"/>
  <c r="AF202" i="9"/>
  <c r="AG202" i="9"/>
  <c r="AH202" i="9"/>
  <c r="AI202" i="9"/>
  <c r="AJ202" i="9"/>
  <c r="AK202" i="9"/>
  <c r="AL202" i="9"/>
  <c r="AM202" i="9"/>
  <c r="AM183" i="9"/>
  <c r="AD183" i="9"/>
  <c r="AE183" i="9"/>
  <c r="AF183" i="9"/>
  <c r="AG183" i="9"/>
  <c r="AH183" i="9"/>
  <c r="AI183" i="9"/>
  <c r="AJ183" i="9"/>
  <c r="AK183" i="9"/>
  <c r="AL183" i="9"/>
  <c r="AD179" i="9"/>
  <c r="AE179" i="9"/>
  <c r="AF179" i="9"/>
  <c r="AG179" i="9"/>
  <c r="AH179" i="9"/>
  <c r="AI179" i="9"/>
  <c r="AJ179" i="9"/>
  <c r="AK179" i="9"/>
  <c r="AL179" i="9"/>
  <c r="AM179" i="9"/>
  <c r="AI36" i="9"/>
  <c r="AH36" i="9"/>
  <c r="AG36" i="9"/>
  <c r="AF36" i="9"/>
  <c r="AO35" i="9"/>
  <c r="AD161" i="9"/>
  <c r="AC13" i="17" s="1"/>
  <c r="AE161" i="9"/>
  <c r="AD13" i="17" s="1"/>
  <c r="AF161" i="9"/>
  <c r="AE13" i="17" s="1"/>
  <c r="AG161" i="9"/>
  <c r="AF13" i="17" s="1"/>
  <c r="AH161" i="9"/>
  <c r="AG13" i="17" s="1"/>
  <c r="AI161" i="9"/>
  <c r="AH13" i="17" s="1"/>
  <c r="AJ161" i="9"/>
  <c r="AI13" i="17" s="1"/>
  <c r="AK161" i="9"/>
  <c r="AJ13" i="17" s="1"/>
  <c r="AL161" i="9"/>
  <c r="AK13" i="17" s="1"/>
  <c r="AM161" i="9"/>
  <c r="AL13" i="17" s="1"/>
  <c r="AD141" i="9"/>
  <c r="AC11" i="17" s="1"/>
  <c r="AE141" i="9"/>
  <c r="AD11" i="17" s="1"/>
  <c r="AF141" i="9"/>
  <c r="AE11" i="17" s="1"/>
  <c r="AG141" i="9"/>
  <c r="AF11" i="17" s="1"/>
  <c r="AH141" i="9"/>
  <c r="AG11" i="17" s="1"/>
  <c r="AI141" i="9"/>
  <c r="AH11" i="17" s="1"/>
  <c r="AJ141" i="9"/>
  <c r="AI11" i="17" s="1"/>
  <c r="AK141" i="9"/>
  <c r="AJ11" i="17" s="1"/>
  <c r="AL141" i="9"/>
  <c r="AK11" i="17" s="1"/>
  <c r="AM141" i="9"/>
  <c r="AL11" i="17" s="1"/>
  <c r="AD105" i="9"/>
  <c r="AE105" i="9"/>
  <c r="AF105" i="9"/>
  <c r="AG105" i="9"/>
  <c r="AH105" i="9"/>
  <c r="AI105" i="9"/>
  <c r="AJ105" i="9"/>
  <c r="AK105" i="9"/>
  <c r="AL105" i="9"/>
  <c r="AM105" i="9"/>
  <c r="AD99" i="9"/>
  <c r="AE99" i="9"/>
  <c r="AJ99" i="9"/>
  <c r="AK99" i="9"/>
  <c r="AL99" i="9"/>
  <c r="AM99" i="9"/>
  <c r="AD93" i="9"/>
  <c r="AE93" i="9"/>
  <c r="AF93" i="9"/>
  <c r="AG93" i="9"/>
  <c r="AH93" i="9"/>
  <c r="AI93" i="9"/>
  <c r="AJ93" i="9"/>
  <c r="AK93" i="9"/>
  <c r="AL93" i="9"/>
  <c r="AM93" i="9"/>
  <c r="D105" i="16"/>
  <c r="G105" i="16" s="1"/>
  <c r="D104" i="16"/>
  <c r="E104" i="16" s="1"/>
  <c r="D103" i="16"/>
  <c r="E103" i="16" s="1"/>
  <c r="D102" i="16"/>
  <c r="E102" i="16" s="1"/>
  <c r="D101" i="16"/>
  <c r="E101" i="16" s="1"/>
  <c r="D99" i="16"/>
  <c r="E99" i="16" s="1"/>
  <c r="D98" i="16"/>
  <c r="E98" i="16" s="1"/>
  <c r="D97" i="16"/>
  <c r="E97" i="16" s="1"/>
  <c r="D96" i="16"/>
  <c r="E96" i="16" s="1"/>
  <c r="D105" i="13"/>
  <c r="G105" i="13" s="1"/>
  <c r="D104" i="13"/>
  <c r="E104" i="13" s="1"/>
  <c r="D103" i="13"/>
  <c r="E103" i="13" s="1"/>
  <c r="D102" i="13"/>
  <c r="E102" i="13" s="1"/>
  <c r="D101" i="13"/>
  <c r="E101" i="13" s="1"/>
  <c r="D100" i="13"/>
  <c r="G100" i="13" s="1"/>
  <c r="D99" i="13"/>
  <c r="E99" i="13" s="1"/>
  <c r="D98" i="13"/>
  <c r="E98" i="13" s="1"/>
  <c r="D97" i="13"/>
  <c r="E97" i="13" s="1"/>
  <c r="D96" i="13"/>
  <c r="E96" i="13" s="1"/>
  <c r="D115" i="16"/>
  <c r="E115" i="16" s="1"/>
  <c r="D114" i="16"/>
  <c r="E114" i="16" s="1"/>
  <c r="E113" i="16"/>
  <c r="C130" i="16" s="1"/>
  <c r="D100" i="16"/>
  <c r="G100" i="16" s="1"/>
  <c r="D95" i="16"/>
  <c r="G95" i="16" s="1"/>
  <c r="D94" i="16"/>
  <c r="E94" i="16" s="1"/>
  <c r="D93" i="16"/>
  <c r="E93" i="16" s="1"/>
  <c r="D92" i="16"/>
  <c r="E92" i="16" s="1"/>
  <c r="D91" i="16"/>
  <c r="E91" i="16" s="1"/>
  <c r="D90" i="16"/>
  <c r="G90" i="16" s="1"/>
  <c r="C143" i="16" s="1"/>
  <c r="D89" i="16"/>
  <c r="E89" i="16" s="1"/>
  <c r="D88" i="16"/>
  <c r="E88" i="16" s="1"/>
  <c r="D87" i="16"/>
  <c r="E87" i="16" s="1"/>
  <c r="D86" i="16"/>
  <c r="E86" i="16" s="1"/>
  <c r="D85" i="16"/>
  <c r="E85" i="16" s="1"/>
  <c r="D84" i="16"/>
  <c r="E84" i="16" s="1"/>
  <c r="D83" i="16"/>
  <c r="E83" i="16" s="1"/>
  <c r="D82" i="16"/>
  <c r="E82" i="16" s="1"/>
  <c r="D81" i="16"/>
  <c r="E81" i="16" s="1"/>
  <c r="D80" i="16"/>
  <c r="G80" i="16" s="1"/>
  <c r="D79" i="16"/>
  <c r="E79" i="16" s="1"/>
  <c r="D78" i="16"/>
  <c r="E78" i="16" s="1"/>
  <c r="D77" i="16"/>
  <c r="E77" i="16" s="1"/>
  <c r="D76" i="16"/>
  <c r="E76" i="16" s="1"/>
  <c r="D75" i="16"/>
  <c r="E75" i="16" s="1"/>
  <c r="D74" i="16"/>
  <c r="E74" i="16" s="1"/>
  <c r="D73" i="16"/>
  <c r="E73" i="16" s="1"/>
  <c r="D72" i="16"/>
  <c r="E72" i="16" s="1"/>
  <c r="D71" i="16"/>
  <c r="E71" i="16" s="1"/>
  <c r="D70" i="16"/>
  <c r="E70" i="16" s="1"/>
  <c r="D69" i="16"/>
  <c r="E69" i="16" s="1"/>
  <c r="D68" i="16"/>
  <c r="G68" i="16" s="1"/>
  <c r="C141" i="16" s="1"/>
  <c r="D67" i="16"/>
  <c r="E67" i="16" s="1"/>
  <c r="D66" i="16"/>
  <c r="E66" i="16" s="1"/>
  <c r="D65" i="16"/>
  <c r="E65" i="16" s="1"/>
  <c r="D64" i="16"/>
  <c r="E64" i="16" s="1"/>
  <c r="D63" i="16"/>
  <c r="E63" i="16" s="1"/>
  <c r="D62" i="16"/>
  <c r="E62" i="16" s="1"/>
  <c r="E61" i="16"/>
  <c r="D60" i="16"/>
  <c r="G60" i="16" s="1"/>
  <c r="C140" i="16" s="1"/>
  <c r="E59" i="16"/>
  <c r="C125" i="16" s="1"/>
  <c r="D58" i="16"/>
  <c r="E58" i="16" s="1"/>
  <c r="D57" i="16"/>
  <c r="E57" i="16" s="1"/>
  <c r="D56" i="16"/>
  <c r="E56" i="16" s="1"/>
  <c r="F55" i="16"/>
  <c r="C134" i="16" s="1"/>
  <c r="G54" i="16"/>
  <c r="C139" i="16" s="1"/>
  <c r="D53" i="16"/>
  <c r="F53" i="16" s="1"/>
  <c r="C135" i="16" s="1"/>
  <c r="D52" i="16"/>
  <c r="E52" i="16" s="1"/>
  <c r="D51" i="16"/>
  <c r="E51" i="16" s="1"/>
  <c r="D50" i="16"/>
  <c r="F50" i="16" s="1"/>
  <c r="F49" i="16"/>
  <c r="D48" i="16"/>
  <c r="F48" i="16" s="1"/>
  <c r="F47" i="16"/>
  <c r="F46" i="16"/>
  <c r="F45" i="16"/>
  <c r="F44" i="16"/>
  <c r="F43" i="16"/>
  <c r="F42" i="16"/>
  <c r="F40" i="16"/>
  <c r="F39" i="16"/>
  <c r="F38" i="16"/>
  <c r="F37" i="16"/>
  <c r="F36" i="16"/>
  <c r="F35" i="16"/>
  <c r="F34" i="16"/>
  <c r="D33" i="16"/>
  <c r="F33" i="16" s="1"/>
  <c r="D32" i="16"/>
  <c r="F32" i="16" s="1"/>
  <c r="D31" i="16"/>
  <c r="E31" i="16" s="1"/>
  <c r="D30" i="16"/>
  <c r="E30" i="16" s="1"/>
  <c r="D29" i="16"/>
  <c r="E29" i="16" s="1"/>
  <c r="D28" i="16"/>
  <c r="E28" i="16" s="1"/>
  <c r="C121" i="16" s="1"/>
  <c r="D27" i="16"/>
  <c r="G27" i="16" s="1"/>
  <c r="C138" i="16" s="1"/>
  <c r="D26" i="16"/>
  <c r="E26" i="16" s="1"/>
  <c r="D25" i="16"/>
  <c r="E25" i="16" s="1"/>
  <c r="E24" i="16"/>
  <c r="D23" i="16"/>
  <c r="E23" i="16" s="1"/>
  <c r="D22" i="16"/>
  <c r="E22" i="16" s="1"/>
  <c r="D21" i="16"/>
  <c r="E21" i="16" s="1"/>
  <c r="D20" i="16"/>
  <c r="E20" i="16" s="1"/>
  <c r="D19" i="16"/>
  <c r="E19" i="16" s="1"/>
  <c r="D18" i="16"/>
  <c r="E18" i="16" s="1"/>
  <c r="D17" i="16"/>
  <c r="E17" i="16" s="1"/>
  <c r="D16" i="16"/>
  <c r="E16" i="16" s="1"/>
  <c r="D15" i="16"/>
  <c r="G15" i="16" s="1"/>
  <c r="D14" i="16"/>
  <c r="E14" i="16" s="1"/>
  <c r="D13" i="16"/>
  <c r="E13" i="16" s="1"/>
  <c r="D12" i="16"/>
  <c r="E12" i="16" s="1"/>
  <c r="D11" i="16"/>
  <c r="E11" i="16" s="1"/>
  <c r="E10" i="16"/>
  <c r="D9" i="16"/>
  <c r="E9" i="16" s="1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D2" i="16"/>
  <c r="E2" i="16" s="1"/>
  <c r="C115" i="16"/>
  <c r="C114" i="16"/>
  <c r="C112" i="16"/>
  <c r="D112" i="16" s="1"/>
  <c r="F112" i="16" s="1"/>
  <c r="C111" i="16"/>
  <c r="D111" i="16" s="1"/>
  <c r="F111" i="16" s="1"/>
  <c r="C110" i="16"/>
  <c r="D110" i="16" s="1"/>
  <c r="F110" i="16" s="1"/>
  <c r="C109" i="16"/>
  <c r="D109" i="16" s="1"/>
  <c r="F109" i="16" s="1"/>
  <c r="C108" i="16"/>
  <c r="D108" i="16" s="1"/>
  <c r="F108" i="16" s="1"/>
  <c r="C107" i="16"/>
  <c r="D107" i="16" s="1"/>
  <c r="F107" i="16" s="1"/>
  <c r="C106" i="16"/>
  <c r="D106" i="16" s="1"/>
  <c r="F106" i="16" s="1"/>
  <c r="D2" i="13"/>
  <c r="E2" i="13" s="1"/>
  <c r="D3" i="13"/>
  <c r="E3" i="13" s="1"/>
  <c r="D4" i="13"/>
  <c r="E4" i="13" s="1"/>
  <c r="D5" i="13"/>
  <c r="E5" i="13" s="1"/>
  <c r="D6" i="13"/>
  <c r="E6" i="13" s="1"/>
  <c r="D7" i="13"/>
  <c r="E7" i="13" s="1"/>
  <c r="D8" i="13"/>
  <c r="E8" i="13" s="1"/>
  <c r="D9" i="13"/>
  <c r="E9" i="13" s="1"/>
  <c r="E10" i="13"/>
  <c r="D11" i="13"/>
  <c r="E11" i="13" s="1"/>
  <c r="D12" i="13"/>
  <c r="E12" i="13" s="1"/>
  <c r="D13" i="13"/>
  <c r="E13" i="13" s="1"/>
  <c r="D14" i="13"/>
  <c r="E14" i="13" s="1"/>
  <c r="D15" i="13"/>
  <c r="G15" i="13" s="1"/>
  <c r="C137" i="13" s="1"/>
  <c r="D16" i="13"/>
  <c r="E16" i="13" s="1"/>
  <c r="D17" i="13"/>
  <c r="E17" i="13" s="1"/>
  <c r="D18" i="13"/>
  <c r="E18" i="13" s="1"/>
  <c r="D19" i="13"/>
  <c r="E19" i="13" s="1"/>
  <c r="D20" i="13"/>
  <c r="E20" i="13" s="1"/>
  <c r="D21" i="13"/>
  <c r="E21" i="13" s="1"/>
  <c r="D22" i="13"/>
  <c r="E22" i="13" s="1"/>
  <c r="D23" i="13"/>
  <c r="E23" i="13" s="1"/>
  <c r="E24" i="13"/>
  <c r="D25" i="13"/>
  <c r="E25" i="13" s="1"/>
  <c r="D26" i="13"/>
  <c r="E26" i="13" s="1"/>
  <c r="D27" i="13"/>
  <c r="G27" i="13" s="1"/>
  <c r="C138" i="13" s="1"/>
  <c r="D28" i="13"/>
  <c r="E28" i="13" s="1"/>
  <c r="C121" i="13" s="1"/>
  <c r="D29" i="13"/>
  <c r="E29" i="13" s="1"/>
  <c r="D30" i="13"/>
  <c r="E30" i="13" s="1"/>
  <c r="D31" i="13"/>
  <c r="E31" i="13" s="1"/>
  <c r="D32" i="13"/>
  <c r="F32" i="13" s="1"/>
  <c r="D33" i="13"/>
  <c r="F33" i="13" s="1"/>
  <c r="F34" i="13"/>
  <c r="F35" i="13"/>
  <c r="F36" i="13"/>
  <c r="F37" i="13"/>
  <c r="F38" i="13"/>
  <c r="F39" i="13"/>
  <c r="F40" i="13"/>
  <c r="E42" i="13"/>
  <c r="F43" i="13"/>
  <c r="F44" i="13"/>
  <c r="F45" i="13"/>
  <c r="F46" i="13"/>
  <c r="F47" i="13"/>
  <c r="D48" i="13"/>
  <c r="F48" i="13" s="1"/>
  <c r="F49" i="13"/>
  <c r="D50" i="13"/>
  <c r="F50" i="13" s="1"/>
  <c r="D51" i="13"/>
  <c r="E51" i="13" s="1"/>
  <c r="D52" i="13"/>
  <c r="E52" i="13" s="1"/>
  <c r="D53" i="13"/>
  <c r="F53" i="13" s="1"/>
  <c r="C135" i="13" s="1"/>
  <c r="G54" i="13"/>
  <c r="C139" i="13" s="1"/>
  <c r="F55" i="13"/>
  <c r="C134" i="13" s="1"/>
  <c r="D56" i="13"/>
  <c r="E56" i="13" s="1"/>
  <c r="D57" i="13"/>
  <c r="E57" i="13" s="1"/>
  <c r="D58" i="13"/>
  <c r="E58" i="13" s="1"/>
  <c r="E59" i="13"/>
  <c r="C125" i="13" s="1"/>
  <c r="D60" i="13"/>
  <c r="G60" i="13" s="1"/>
  <c r="C140" i="13" s="1"/>
  <c r="E61" i="13"/>
  <c r="D62" i="13"/>
  <c r="E62" i="13" s="1"/>
  <c r="D63" i="13"/>
  <c r="E63" i="13" s="1"/>
  <c r="D64" i="13"/>
  <c r="E64" i="13" s="1"/>
  <c r="D65" i="13"/>
  <c r="E65" i="13" s="1"/>
  <c r="D66" i="13"/>
  <c r="E66" i="13" s="1"/>
  <c r="D67" i="13"/>
  <c r="E67" i="13" s="1"/>
  <c r="D68" i="13"/>
  <c r="G68" i="13" s="1"/>
  <c r="C141" i="13" s="1"/>
  <c r="D69" i="13"/>
  <c r="E69" i="13" s="1"/>
  <c r="D70" i="13"/>
  <c r="E70" i="13" s="1"/>
  <c r="D71" i="13"/>
  <c r="E71" i="13" s="1"/>
  <c r="D72" i="13"/>
  <c r="E72" i="13" s="1"/>
  <c r="D73" i="13"/>
  <c r="E73" i="13" s="1"/>
  <c r="D74" i="13"/>
  <c r="E74" i="13" s="1"/>
  <c r="D75" i="13"/>
  <c r="E75" i="13" s="1"/>
  <c r="D76" i="13"/>
  <c r="E76" i="13" s="1"/>
  <c r="D77" i="13"/>
  <c r="E77" i="13" s="1"/>
  <c r="D78" i="13"/>
  <c r="E78" i="13" s="1"/>
  <c r="D79" i="13"/>
  <c r="E79" i="13" s="1"/>
  <c r="D80" i="13"/>
  <c r="G80" i="13" s="1"/>
  <c r="D81" i="13"/>
  <c r="E81" i="13" s="1"/>
  <c r="D82" i="13"/>
  <c r="E82" i="13" s="1"/>
  <c r="D83" i="13"/>
  <c r="E83" i="13" s="1"/>
  <c r="D84" i="13"/>
  <c r="E84" i="13" s="1"/>
  <c r="D85" i="13"/>
  <c r="E85" i="13" s="1"/>
  <c r="D86" i="13"/>
  <c r="E86" i="13" s="1"/>
  <c r="D87" i="13"/>
  <c r="E87" i="13" s="1"/>
  <c r="D88" i="13"/>
  <c r="E88" i="13" s="1"/>
  <c r="D89" i="13"/>
  <c r="E89" i="13" s="1"/>
  <c r="D90" i="13"/>
  <c r="G90" i="13" s="1"/>
  <c r="C143" i="13" s="1"/>
  <c r="D91" i="13"/>
  <c r="E91" i="13" s="1"/>
  <c r="D92" i="13"/>
  <c r="E92" i="13" s="1"/>
  <c r="D93" i="13"/>
  <c r="E93" i="13" s="1"/>
  <c r="D94" i="13"/>
  <c r="E94" i="13" s="1"/>
  <c r="D95" i="13"/>
  <c r="G95" i="13" s="1"/>
  <c r="C106" i="13"/>
  <c r="D106" i="13" s="1"/>
  <c r="F106" i="13" s="1"/>
  <c r="C107" i="13"/>
  <c r="D107" i="13" s="1"/>
  <c r="F107" i="13" s="1"/>
  <c r="C108" i="13"/>
  <c r="D108" i="13"/>
  <c r="F108" i="13" s="1"/>
  <c r="C109" i="13"/>
  <c r="D109" i="13" s="1"/>
  <c r="F109" i="13" s="1"/>
  <c r="C110" i="13"/>
  <c r="D110" i="13" s="1"/>
  <c r="F110" i="13" s="1"/>
  <c r="C111" i="13"/>
  <c r="D111" i="13" s="1"/>
  <c r="F111" i="13" s="1"/>
  <c r="C112" i="13"/>
  <c r="D112" i="13"/>
  <c r="F112" i="13" s="1"/>
  <c r="C114" i="13"/>
  <c r="D114" i="13"/>
  <c r="E114" i="13" s="1"/>
  <c r="C115" i="13"/>
  <c r="D115" i="13"/>
  <c r="E115" i="13" s="1"/>
  <c r="E113" i="13"/>
  <c r="C130" i="13" s="1"/>
  <c r="AP243" i="9"/>
  <c r="AS243" i="9" s="1"/>
  <c r="T111" i="9"/>
  <c r="E111" i="9"/>
  <c r="D111" i="9"/>
  <c r="D105" i="9"/>
  <c r="C105" i="9"/>
  <c r="AA36" i="9"/>
  <c r="Z36" i="9"/>
  <c r="R36" i="9"/>
  <c r="Q36" i="9"/>
  <c r="P36" i="9"/>
  <c r="O36" i="9"/>
  <c r="N36" i="9"/>
  <c r="K36" i="9"/>
  <c r="J36" i="9"/>
  <c r="I36" i="9"/>
  <c r="F36" i="9"/>
  <c r="E36" i="9"/>
  <c r="D36" i="9"/>
  <c r="G99" i="9"/>
  <c r="X93" i="9"/>
  <c r="Y93" i="9"/>
  <c r="T105" i="9"/>
  <c r="U105" i="9"/>
  <c r="T93" i="9"/>
  <c r="G93" i="9"/>
  <c r="H93" i="9"/>
  <c r="I93" i="9"/>
  <c r="H99" i="9"/>
  <c r="T141" i="9"/>
  <c r="S11" i="17" s="1"/>
  <c r="U141" i="9"/>
  <c r="T11" i="17" s="1"/>
  <c r="V141" i="9"/>
  <c r="U11" i="17" s="1"/>
  <c r="W141" i="9"/>
  <c r="V11" i="17" s="1"/>
  <c r="X141" i="9"/>
  <c r="W11" i="17" s="1"/>
  <c r="Y141" i="9"/>
  <c r="X11" i="17" s="1"/>
  <c r="G141" i="9"/>
  <c r="F11" i="17" s="1"/>
  <c r="H141" i="9"/>
  <c r="G11" i="17" s="1"/>
  <c r="T161" i="9"/>
  <c r="S13" i="17" s="1"/>
  <c r="U161" i="9"/>
  <c r="T13" i="17" s="1"/>
  <c r="V161" i="9"/>
  <c r="U13" i="17" s="1"/>
  <c r="W161" i="9"/>
  <c r="V13" i="17" s="1"/>
  <c r="X161" i="9"/>
  <c r="W13" i="17" s="1"/>
  <c r="Y161" i="9"/>
  <c r="X13" i="17" s="1"/>
  <c r="G161" i="9"/>
  <c r="F13" i="17" s="1"/>
  <c r="H161" i="9"/>
  <c r="G13" i="17" s="1"/>
  <c r="G179" i="9"/>
  <c r="H179" i="9"/>
  <c r="G183" i="9"/>
  <c r="H183" i="9"/>
  <c r="T183" i="9"/>
  <c r="T179" i="9"/>
  <c r="X179" i="9"/>
  <c r="Y179" i="9"/>
  <c r="X183" i="9"/>
  <c r="Y183" i="9"/>
  <c r="X208" i="9"/>
  <c r="Y208" i="9"/>
  <c r="X202" i="9"/>
  <c r="Y202" i="9"/>
  <c r="T208" i="9"/>
  <c r="T202" i="9"/>
  <c r="G202" i="9"/>
  <c r="H202" i="9"/>
  <c r="G208" i="9"/>
  <c r="H208" i="9"/>
  <c r="C26" i="10"/>
  <c r="C32" i="10" s="1"/>
  <c r="D208" i="9"/>
  <c r="E208" i="9"/>
  <c r="F208" i="9"/>
  <c r="I208" i="9"/>
  <c r="J208" i="9"/>
  <c r="K208" i="9"/>
  <c r="L208" i="9"/>
  <c r="M208" i="9"/>
  <c r="N208" i="9"/>
  <c r="O208" i="9"/>
  <c r="P208" i="9"/>
  <c r="Q208" i="9"/>
  <c r="R208" i="9"/>
  <c r="S208" i="9"/>
  <c r="U208" i="9"/>
  <c r="V208" i="9"/>
  <c r="W208" i="9"/>
  <c r="Z208" i="9"/>
  <c r="AA208" i="9"/>
  <c r="AB208" i="9"/>
  <c r="AC208" i="9"/>
  <c r="D202" i="9"/>
  <c r="E202" i="9"/>
  <c r="F202" i="9"/>
  <c r="I202" i="9"/>
  <c r="J202" i="9"/>
  <c r="K202" i="9"/>
  <c r="L202" i="9"/>
  <c r="M202" i="9"/>
  <c r="N202" i="9"/>
  <c r="O202" i="9"/>
  <c r="P202" i="9"/>
  <c r="Q202" i="9"/>
  <c r="R202" i="9"/>
  <c r="S202" i="9"/>
  <c r="U202" i="9"/>
  <c r="V202" i="9"/>
  <c r="W202" i="9"/>
  <c r="Z202" i="9"/>
  <c r="AA202" i="9"/>
  <c r="AB202" i="9"/>
  <c r="AC202" i="9"/>
  <c r="C208" i="9"/>
  <c r="C202" i="9"/>
  <c r="D183" i="9"/>
  <c r="E183" i="9"/>
  <c r="F183" i="9"/>
  <c r="I183" i="9"/>
  <c r="J183" i="9"/>
  <c r="K183" i="9"/>
  <c r="L183" i="9"/>
  <c r="M183" i="9"/>
  <c r="N183" i="9"/>
  <c r="O183" i="9"/>
  <c r="P183" i="9"/>
  <c r="Q183" i="9"/>
  <c r="R183" i="9"/>
  <c r="S183" i="9"/>
  <c r="U183" i="9"/>
  <c r="V183" i="9"/>
  <c r="W183" i="9"/>
  <c r="Z183" i="9"/>
  <c r="AA183" i="9"/>
  <c r="AB183" i="9"/>
  <c r="AC183" i="9"/>
  <c r="D179" i="9"/>
  <c r="E179" i="9"/>
  <c r="F179" i="9"/>
  <c r="I179" i="9"/>
  <c r="J179" i="9"/>
  <c r="K179" i="9"/>
  <c r="L179" i="9"/>
  <c r="M179" i="9"/>
  <c r="N179" i="9"/>
  <c r="O179" i="9"/>
  <c r="P179" i="9"/>
  <c r="Q179" i="9"/>
  <c r="R179" i="9"/>
  <c r="S179" i="9"/>
  <c r="U179" i="9"/>
  <c r="V179" i="9"/>
  <c r="W179" i="9"/>
  <c r="Z179" i="9"/>
  <c r="AA179" i="9"/>
  <c r="AB179" i="9"/>
  <c r="AC179" i="9"/>
  <c r="C183" i="9"/>
  <c r="C179" i="9"/>
  <c r="L105" i="9"/>
  <c r="M105" i="9"/>
  <c r="N105" i="9"/>
  <c r="O105" i="9"/>
  <c r="P105" i="9"/>
  <c r="Q105" i="9"/>
  <c r="R105" i="9"/>
  <c r="S105" i="9"/>
  <c r="AA105" i="9"/>
  <c r="AB105" i="9"/>
  <c r="AC105" i="9"/>
  <c r="B32" i="10"/>
  <c r="AC93" i="9"/>
  <c r="AB93" i="9"/>
  <c r="AA93" i="9"/>
  <c r="Z93" i="9"/>
  <c r="W93" i="9"/>
  <c r="V93" i="9"/>
  <c r="U93" i="9"/>
  <c r="S93" i="9"/>
  <c r="R93" i="9"/>
  <c r="Q93" i="9"/>
  <c r="P93" i="9"/>
  <c r="O93" i="9"/>
  <c r="N93" i="9"/>
  <c r="M93" i="9"/>
  <c r="L93" i="9"/>
  <c r="K93" i="9"/>
  <c r="J93" i="9"/>
  <c r="F93" i="9"/>
  <c r="E93" i="9"/>
  <c r="R99" i="9"/>
  <c r="P99" i="9"/>
  <c r="N99" i="9"/>
  <c r="L99" i="9"/>
  <c r="K99" i="9"/>
  <c r="J99" i="9"/>
  <c r="I99" i="9"/>
  <c r="F99" i="9"/>
  <c r="E99" i="9"/>
  <c r="D99" i="9"/>
  <c r="D93" i="9"/>
  <c r="AC99" i="9"/>
  <c r="S99" i="9"/>
  <c r="C99" i="9"/>
  <c r="M99" i="9"/>
  <c r="Q99" i="9"/>
  <c r="AB99" i="9"/>
  <c r="O99" i="9"/>
  <c r="C93" i="9"/>
  <c r="AQ243" i="9"/>
  <c r="S161" i="9"/>
  <c r="R13" i="17" s="1"/>
  <c r="R161" i="9"/>
  <c r="Q13" i="17" s="1"/>
  <c r="Q161" i="9"/>
  <c r="P13" i="17" s="1"/>
  <c r="N161" i="9"/>
  <c r="M13" i="17" s="1"/>
  <c r="M161" i="9"/>
  <c r="L13" i="17" s="1"/>
  <c r="AC161" i="9"/>
  <c r="AB13" i="17" s="1"/>
  <c r="AB161" i="9"/>
  <c r="AA13" i="17" s="1"/>
  <c r="AA161" i="9"/>
  <c r="Z13" i="17" s="1"/>
  <c r="Z161" i="9"/>
  <c r="Y13" i="17" s="1"/>
  <c r="L161" i="9"/>
  <c r="K13" i="17" s="1"/>
  <c r="K161" i="9"/>
  <c r="J13" i="17" s="1"/>
  <c r="J161" i="9"/>
  <c r="I13" i="17" s="1"/>
  <c r="I161" i="9"/>
  <c r="H13" i="17" s="1"/>
  <c r="F161" i="9"/>
  <c r="E13" i="17" s="1"/>
  <c r="E161" i="9"/>
  <c r="D13" i="17" s="1"/>
  <c r="D161" i="9"/>
  <c r="C13" i="17" s="1"/>
  <c r="C161" i="9"/>
  <c r="B13" i="17" s="1"/>
  <c r="AC141" i="9"/>
  <c r="AB11" i="17" s="1"/>
  <c r="S141" i="9"/>
  <c r="R11" i="17" s="1"/>
  <c r="O161" i="9"/>
  <c r="N13" i="17" s="1"/>
  <c r="C141" i="9"/>
  <c r="B11" i="17" s="1"/>
  <c r="I141" i="9"/>
  <c r="H11" i="17" s="1"/>
  <c r="M141" i="9"/>
  <c r="L11" i="17" s="1"/>
  <c r="Q141" i="9"/>
  <c r="P11" i="17" s="1"/>
  <c r="AB141" i="9"/>
  <c r="AA11" i="17" s="1"/>
  <c r="E141" i="9"/>
  <c r="D11" i="17" s="1"/>
  <c r="K141" i="9"/>
  <c r="J11" i="17" s="1"/>
  <c r="L141" i="9"/>
  <c r="K11" i="17" s="1"/>
  <c r="O141" i="9"/>
  <c r="N11" i="17" s="1"/>
  <c r="D141" i="9"/>
  <c r="C11" i="17" s="1"/>
  <c r="J141" i="9"/>
  <c r="I11" i="17" s="1"/>
  <c r="N141" i="9"/>
  <c r="M11" i="17" s="1"/>
  <c r="R141" i="9"/>
  <c r="Q11" i="17" s="1"/>
  <c r="P161" i="9"/>
  <c r="O13" i="17" s="1"/>
  <c r="F141" i="9"/>
  <c r="E11" i="17" s="1"/>
  <c r="P141" i="9"/>
  <c r="O11" i="17" s="1"/>
  <c r="Z141" i="9"/>
  <c r="Y11" i="17" s="1"/>
  <c r="AA141" i="9"/>
  <c r="Z11" i="17" s="1"/>
  <c r="AR188" i="9" l="1"/>
  <c r="AN11" i="17"/>
  <c r="AN13" i="17"/>
  <c r="AO179" i="9"/>
  <c r="AO183" i="9"/>
  <c r="AN202" i="9"/>
  <c r="C35" i="10"/>
  <c r="D35" i="10" s="1"/>
  <c r="AN208" i="9"/>
  <c r="C36" i="10"/>
  <c r="D36" i="10" s="1"/>
  <c r="D32" i="10"/>
  <c r="C198" i="9"/>
  <c r="B17" i="17" s="1"/>
  <c r="Z178" i="9"/>
  <c r="Y15" i="17" s="1"/>
  <c r="S178" i="9"/>
  <c r="R15" i="17" s="1"/>
  <c r="O178" i="9"/>
  <c r="N15" i="17" s="1"/>
  <c r="K178" i="9"/>
  <c r="J15" i="17" s="1"/>
  <c r="AJ178" i="9"/>
  <c r="AI15" i="17" s="1"/>
  <c r="AF178" i="9"/>
  <c r="AE15" i="17" s="1"/>
  <c r="AB178" i="9"/>
  <c r="AA15" i="17" s="1"/>
  <c r="V178" i="9"/>
  <c r="U15" i="17" s="1"/>
  <c r="M178" i="9"/>
  <c r="L15" i="17" s="1"/>
  <c r="AH178" i="9"/>
  <c r="AG15" i="17" s="1"/>
  <c r="AD178" i="9"/>
  <c r="AC15" i="17" s="1"/>
  <c r="AL178" i="9"/>
  <c r="AK15" i="17" s="1"/>
  <c r="Q178" i="9"/>
  <c r="P15" i="17" s="1"/>
  <c r="I178" i="9"/>
  <c r="H15" i="17" s="1"/>
  <c r="AM178" i="9"/>
  <c r="AL15" i="17" s="1"/>
  <c r="G178" i="9"/>
  <c r="F15" i="17" s="1"/>
  <c r="C178" i="9"/>
  <c r="B15" i="17" s="1"/>
  <c r="AA178" i="9"/>
  <c r="Z15" i="17" s="1"/>
  <c r="U178" i="9"/>
  <c r="T15" i="17" s="1"/>
  <c r="P178" i="9"/>
  <c r="O15" i="17" s="1"/>
  <c r="L178" i="9"/>
  <c r="K15" i="17" s="1"/>
  <c r="F178" i="9"/>
  <c r="E15" i="17" s="1"/>
  <c r="AK178" i="9"/>
  <c r="AJ15" i="17" s="1"/>
  <c r="AG178" i="9"/>
  <c r="AF15" i="17" s="1"/>
  <c r="E178" i="9"/>
  <c r="D15" i="17" s="1"/>
  <c r="AC178" i="9"/>
  <c r="AB15" i="17" s="1"/>
  <c r="AI178" i="9"/>
  <c r="AH15" i="17" s="1"/>
  <c r="AE178" i="9"/>
  <c r="AD15" i="17" s="1"/>
  <c r="Y178" i="9"/>
  <c r="X15" i="17" s="1"/>
  <c r="X178" i="9"/>
  <c r="W15" i="17" s="1"/>
  <c r="W178" i="9"/>
  <c r="V15" i="17" s="1"/>
  <c r="R178" i="9"/>
  <c r="Q15" i="17" s="1"/>
  <c r="N178" i="9"/>
  <c r="M15" i="17" s="1"/>
  <c r="J178" i="9"/>
  <c r="I15" i="17" s="1"/>
  <c r="D178" i="9"/>
  <c r="C15" i="17" s="1"/>
  <c r="T178" i="9"/>
  <c r="S15" i="17" s="1"/>
  <c r="H178" i="9"/>
  <c r="G15" i="17" s="1"/>
  <c r="U92" i="9"/>
  <c r="T7" i="17" s="1"/>
  <c r="AL92" i="9"/>
  <c r="AK7" i="17" s="1"/>
  <c r="AD92" i="9"/>
  <c r="AC7" i="17" s="1"/>
  <c r="AF92" i="9"/>
  <c r="AE7" i="17" s="1"/>
  <c r="X92" i="9"/>
  <c r="W7" i="17" s="1"/>
  <c r="AM92" i="9"/>
  <c r="AL7" i="17" s="1"/>
  <c r="AE92" i="9"/>
  <c r="AD7" i="17" s="1"/>
  <c r="W92" i="9"/>
  <c r="V7" i="17" s="1"/>
  <c r="O92" i="9"/>
  <c r="N7" i="17" s="1"/>
  <c r="AI92" i="9"/>
  <c r="AH7" i="17" s="1"/>
  <c r="C92" i="9"/>
  <c r="B7" i="17" s="1"/>
  <c r="D92" i="9"/>
  <c r="C7" i="17" s="1"/>
  <c r="AJ92" i="9"/>
  <c r="AI7" i="17" s="1"/>
  <c r="AG92" i="9"/>
  <c r="AF7" i="17" s="1"/>
  <c r="Y92" i="9"/>
  <c r="X7" i="17" s="1"/>
  <c r="Z92" i="9"/>
  <c r="Y7" i="17" s="1"/>
  <c r="T92" i="9"/>
  <c r="S7" i="17" s="1"/>
  <c r="AA92" i="9"/>
  <c r="Z7" i="17" s="1"/>
  <c r="L92" i="9"/>
  <c r="K7" i="17" s="1"/>
  <c r="P92" i="9"/>
  <c r="O7" i="17" s="1"/>
  <c r="AH92" i="9"/>
  <c r="AG7" i="17" s="1"/>
  <c r="M92" i="9"/>
  <c r="L7" i="17" s="1"/>
  <c r="Q92" i="9"/>
  <c r="P7" i="17" s="1"/>
  <c r="V92" i="9"/>
  <c r="U7" i="17" s="1"/>
  <c r="AB92" i="9"/>
  <c r="AA7" i="17" s="1"/>
  <c r="H92" i="9"/>
  <c r="G7" i="17" s="1"/>
  <c r="AK92" i="9"/>
  <c r="AJ7" i="17" s="1"/>
  <c r="K92" i="9"/>
  <c r="J7" i="17" s="1"/>
  <c r="N92" i="9"/>
  <c r="M7" i="17" s="1"/>
  <c r="R92" i="9"/>
  <c r="Q7" i="17" s="1"/>
  <c r="AC92" i="9"/>
  <c r="AB7" i="17" s="1"/>
  <c r="D49" i="9"/>
  <c r="C6" i="17" s="1"/>
  <c r="C49" i="9"/>
  <c r="B6" i="17" s="1"/>
  <c r="AJ49" i="9"/>
  <c r="AI6" i="17" s="1"/>
  <c r="AB49" i="9"/>
  <c r="AA6" i="17" s="1"/>
  <c r="W49" i="9"/>
  <c r="V6" i="17" s="1"/>
  <c r="S49" i="9"/>
  <c r="R6" i="17" s="1"/>
  <c r="N49" i="9"/>
  <c r="M6" i="17" s="1"/>
  <c r="E49" i="9"/>
  <c r="D6" i="17" s="1"/>
  <c r="AL49" i="9"/>
  <c r="AK6" i="17" s="1"/>
  <c r="AG49" i="9"/>
  <c r="AF6" i="17" s="1"/>
  <c r="AD49" i="9"/>
  <c r="AC6" i="17" s="1"/>
  <c r="Y49" i="9"/>
  <c r="X6" i="17" s="1"/>
  <c r="U49" i="9"/>
  <c r="T6" i="17" s="1"/>
  <c r="M49" i="9"/>
  <c r="L6" i="17" s="1"/>
  <c r="F49" i="9"/>
  <c r="E6" i="17" s="1"/>
  <c r="P49" i="9"/>
  <c r="O6" i="17" s="1"/>
  <c r="AF49" i="9"/>
  <c r="AE6" i="17" s="1"/>
  <c r="L49" i="9"/>
  <c r="K6" i="17" s="1"/>
  <c r="J49" i="9"/>
  <c r="I6" i="17" s="1"/>
  <c r="H49" i="9"/>
  <c r="G6" i="17" s="1"/>
  <c r="K49" i="9"/>
  <c r="J6" i="17" s="1"/>
  <c r="I49" i="9"/>
  <c r="H6" i="17" s="1"/>
  <c r="AM49" i="9"/>
  <c r="AL6" i="17" s="1"/>
  <c r="AK49" i="9"/>
  <c r="AJ6" i="17" s="1"/>
  <c r="AI49" i="9"/>
  <c r="AH6" i="17" s="1"/>
  <c r="AE49" i="9"/>
  <c r="AD6" i="17" s="1"/>
  <c r="AC49" i="9"/>
  <c r="AB6" i="17" s="1"/>
  <c r="AA49" i="9"/>
  <c r="Z6" i="17" s="1"/>
  <c r="X49" i="9"/>
  <c r="W6" i="17" s="1"/>
  <c r="V49" i="9"/>
  <c r="U6" i="17" s="1"/>
  <c r="T49" i="9"/>
  <c r="S6" i="17" s="1"/>
  <c r="R49" i="9"/>
  <c r="Q6" i="17" s="1"/>
  <c r="Q49" i="9"/>
  <c r="P6" i="17" s="1"/>
  <c r="AH49" i="9"/>
  <c r="AG6" i="17" s="1"/>
  <c r="Z49" i="9"/>
  <c r="Y6" i="17" s="1"/>
  <c r="O49" i="9"/>
  <c r="N6" i="17" s="1"/>
  <c r="G49" i="9"/>
  <c r="F6" i="17" s="1"/>
  <c r="AL18" i="9"/>
  <c r="AJ18" i="9"/>
  <c r="AD18" i="9"/>
  <c r="AB18" i="9"/>
  <c r="Y18" i="9"/>
  <c r="W18" i="9"/>
  <c r="U18" i="9"/>
  <c r="S18" i="9"/>
  <c r="AF18" i="9"/>
  <c r="AM18" i="9"/>
  <c r="AK18" i="9"/>
  <c r="AH18" i="9"/>
  <c r="AE18" i="9"/>
  <c r="AC18" i="9"/>
  <c r="Z18" i="9"/>
  <c r="X18" i="9"/>
  <c r="V18" i="9"/>
  <c r="T18" i="9"/>
  <c r="O18" i="9"/>
  <c r="AG18" i="9"/>
  <c r="M18" i="9"/>
  <c r="AI18" i="9"/>
  <c r="AA18" i="9"/>
  <c r="Q18" i="9"/>
  <c r="H18" i="9"/>
  <c r="F105" i="9"/>
  <c r="G105" i="9"/>
  <c r="AB198" i="9"/>
  <c r="AA17" i="17" s="1"/>
  <c r="V198" i="9"/>
  <c r="U17" i="17" s="1"/>
  <c r="Q198" i="9"/>
  <c r="P17" i="17" s="1"/>
  <c r="M198" i="9"/>
  <c r="L17" i="17" s="1"/>
  <c r="I198" i="9"/>
  <c r="H17" i="17" s="1"/>
  <c r="AK198" i="9"/>
  <c r="AJ17" i="17" s="1"/>
  <c r="Y198" i="9"/>
  <c r="X17" i="17" s="1"/>
  <c r="U198" i="9"/>
  <c r="T17" i="17" s="1"/>
  <c r="J105" i="9"/>
  <c r="J92" i="9" s="1"/>
  <c r="I7" i="17" s="1"/>
  <c r="F111" i="9"/>
  <c r="AL198" i="9"/>
  <c r="AK17" i="17" s="1"/>
  <c r="O198" i="9"/>
  <c r="N17" i="17" s="1"/>
  <c r="G111" i="9"/>
  <c r="E105" i="9"/>
  <c r="E92" i="9" s="1"/>
  <c r="D7" i="17" s="1"/>
  <c r="AJ198" i="9"/>
  <c r="AI17" i="17" s="1"/>
  <c r="AF198" i="9"/>
  <c r="AE17" i="17" s="1"/>
  <c r="AH198" i="9"/>
  <c r="AG17" i="17" s="1"/>
  <c r="AD198" i="9"/>
  <c r="AC17" i="17" s="1"/>
  <c r="I111" i="9"/>
  <c r="I92" i="9" s="1"/>
  <c r="H7" i="17" s="1"/>
  <c r="AR243" i="9"/>
  <c r="AR247" i="9" s="1"/>
  <c r="AG198" i="9"/>
  <c r="AF17" i="17" s="1"/>
  <c r="H198" i="9"/>
  <c r="G17" i="17" s="1"/>
  <c r="AP161" i="9"/>
  <c r="AR161" i="9" s="1"/>
  <c r="X198" i="9"/>
  <c r="W17" i="17" s="1"/>
  <c r="Z198" i="9"/>
  <c r="Y17" i="17" s="1"/>
  <c r="S198" i="9"/>
  <c r="R17" i="17" s="1"/>
  <c r="K198" i="9"/>
  <c r="J17" i="17" s="1"/>
  <c r="E198" i="9"/>
  <c r="D17" i="17" s="1"/>
  <c r="AA198" i="9"/>
  <c r="Z17" i="17" s="1"/>
  <c r="P198" i="9"/>
  <c r="O17" i="17" s="1"/>
  <c r="L198" i="9"/>
  <c r="K17" i="17" s="1"/>
  <c r="F198" i="9"/>
  <c r="E17" i="17" s="1"/>
  <c r="T198" i="9"/>
  <c r="S17" i="17" s="1"/>
  <c r="S111" i="9"/>
  <c r="S92" i="9" s="1"/>
  <c r="R7" i="17" s="1"/>
  <c r="AC198" i="9"/>
  <c r="AB17" i="17" s="1"/>
  <c r="W198" i="9"/>
  <c r="V17" i="17" s="1"/>
  <c r="R198" i="9"/>
  <c r="Q17" i="17" s="1"/>
  <c r="N198" i="9"/>
  <c r="M17" i="17" s="1"/>
  <c r="J198" i="9"/>
  <c r="I17" i="17" s="1"/>
  <c r="G198" i="9"/>
  <c r="F17" i="17" s="1"/>
  <c r="AM198" i="9"/>
  <c r="AL17" i="17" s="1"/>
  <c r="AI198" i="9"/>
  <c r="AH17" i="17" s="1"/>
  <c r="AE198" i="9"/>
  <c r="AD17" i="17" s="1"/>
  <c r="AO39" i="9"/>
  <c r="AO36" i="9"/>
  <c r="AO62" i="9"/>
  <c r="AO69" i="9"/>
  <c r="AO75" i="9"/>
  <c r="C129" i="16"/>
  <c r="E42" i="16"/>
  <c r="C132" i="16"/>
  <c r="C126" i="16"/>
  <c r="C127" i="16"/>
  <c r="C123" i="16"/>
  <c r="C122" i="16"/>
  <c r="C123" i="13"/>
  <c r="C142" i="13"/>
  <c r="C122" i="13"/>
  <c r="F42" i="13"/>
  <c r="C137" i="16"/>
  <c r="G117" i="16"/>
  <c r="G63" i="12" s="1"/>
  <c r="C124" i="16"/>
  <c r="C128" i="16"/>
  <c r="C142" i="16"/>
  <c r="C129" i="13"/>
  <c r="C124" i="13"/>
  <c r="C132" i="13"/>
  <c r="C120" i="13"/>
  <c r="F117" i="16"/>
  <c r="G62" i="12" s="1"/>
  <c r="E117" i="16"/>
  <c r="G61" i="12" s="1"/>
  <c r="C119" i="16"/>
  <c r="C120" i="16"/>
  <c r="C133" i="16"/>
  <c r="C126" i="13"/>
  <c r="C119" i="13"/>
  <c r="C128" i="13"/>
  <c r="C127" i="13"/>
  <c r="C133" i="13"/>
  <c r="AP141" i="9"/>
  <c r="AS141" i="9" s="1"/>
  <c r="AO83" i="9"/>
  <c r="AO93" i="9"/>
  <c r="AO99" i="9"/>
  <c r="F117" i="13"/>
  <c r="G30" i="12" s="1"/>
  <c r="E117" i="13"/>
  <c r="G29" i="12" s="1"/>
  <c r="G117" i="13"/>
  <c r="G31" i="12" s="1"/>
  <c r="F32" i="9"/>
  <c r="F18" i="9" s="1"/>
  <c r="F151" i="9"/>
  <c r="E12" i="17" s="1"/>
  <c r="F171" i="9"/>
  <c r="E14" i="17" s="1"/>
  <c r="D198" i="9"/>
  <c r="C17" i="17" s="1"/>
  <c r="G32" i="9"/>
  <c r="G18" i="9" s="1"/>
  <c r="G171" i="9"/>
  <c r="F14" i="17" s="1"/>
  <c r="G151" i="9"/>
  <c r="F12" i="17" s="1"/>
  <c r="K32" i="9"/>
  <c r="K18" i="9" s="1"/>
  <c r="K151" i="9"/>
  <c r="J12" i="17" s="1"/>
  <c r="K171" i="9"/>
  <c r="J14" i="17" s="1"/>
  <c r="R171" i="9"/>
  <c r="Q14" i="17" s="1"/>
  <c r="R32" i="9"/>
  <c r="R18" i="9" s="1"/>
  <c r="R151" i="9"/>
  <c r="Q12" i="17" s="1"/>
  <c r="J32" i="9"/>
  <c r="J18" i="9" s="1"/>
  <c r="J171" i="9"/>
  <c r="I14" i="17" s="1"/>
  <c r="J151" i="9"/>
  <c r="I12" i="17" s="1"/>
  <c r="P171" i="9"/>
  <c r="O14" i="17" s="1"/>
  <c r="P32" i="9"/>
  <c r="P18" i="9" s="1"/>
  <c r="P151" i="9"/>
  <c r="O12" i="17" s="1"/>
  <c r="D32" i="9"/>
  <c r="D18" i="9" s="1"/>
  <c r="D151" i="9"/>
  <c r="C12" i="17" s="1"/>
  <c r="D171" i="9"/>
  <c r="C14" i="17" s="1"/>
  <c r="L32" i="9"/>
  <c r="L18" i="9" s="1"/>
  <c r="L171" i="9"/>
  <c r="K14" i="17" s="1"/>
  <c r="L151" i="9"/>
  <c r="K12" i="17" s="1"/>
  <c r="C19" i="9"/>
  <c r="C18" i="9" s="1"/>
  <c r="E32" i="9"/>
  <c r="E18" i="9" s="1"/>
  <c r="E171" i="9"/>
  <c r="D14" i="17" s="1"/>
  <c r="E151" i="9"/>
  <c r="D12" i="17" s="1"/>
  <c r="I32" i="9"/>
  <c r="I18" i="9" s="1"/>
  <c r="I151" i="9"/>
  <c r="H12" i="17" s="1"/>
  <c r="I171" i="9"/>
  <c r="H14" i="17" s="1"/>
  <c r="N171" i="9"/>
  <c r="M14" i="17" s="1"/>
  <c r="N32" i="9"/>
  <c r="N18" i="9" s="1"/>
  <c r="N151" i="9"/>
  <c r="M12" i="17" s="1"/>
  <c r="AN14" i="17" l="1"/>
  <c r="AN12" i="17"/>
  <c r="S5" i="17"/>
  <c r="AL5" i="17"/>
  <c r="AI5" i="17"/>
  <c r="J5" i="17"/>
  <c r="G5" i="17"/>
  <c r="U5" i="17"/>
  <c r="AE5" i="17"/>
  <c r="AK5" i="17"/>
  <c r="T5" i="17"/>
  <c r="AN17" i="17"/>
  <c r="H5" i="17"/>
  <c r="I5" i="17"/>
  <c r="Y5" i="17"/>
  <c r="V5" i="17"/>
  <c r="F5" i="17"/>
  <c r="AH5" i="17"/>
  <c r="AB5" i="17"/>
  <c r="C5" i="17"/>
  <c r="Q5" i="17"/>
  <c r="L5" i="17"/>
  <c r="AD5" i="17"/>
  <c r="X5" i="17"/>
  <c r="AN6" i="17"/>
  <c r="K5" i="17"/>
  <c r="AN15" i="17"/>
  <c r="AF5" i="17"/>
  <c r="AG5" i="17"/>
  <c r="AA5" i="17"/>
  <c r="E5" i="17"/>
  <c r="P5" i="17"/>
  <c r="W5" i="17"/>
  <c r="R5" i="17"/>
  <c r="Z5" i="17"/>
  <c r="D5" i="17"/>
  <c r="M5" i="17"/>
  <c r="B5" i="17"/>
  <c r="O5" i="17"/>
  <c r="N5" i="17"/>
  <c r="AJ5" i="17"/>
  <c r="AC5" i="17"/>
  <c r="AP178" i="9"/>
  <c r="AS178" i="9" s="1"/>
  <c r="D39" i="10"/>
  <c r="AR249" i="9" s="1"/>
  <c r="F92" i="9"/>
  <c r="E7" i="17" s="1"/>
  <c r="G92" i="9"/>
  <c r="F7" i="17" s="1"/>
  <c r="AP49" i="9"/>
  <c r="AP18" i="9"/>
  <c r="AR141" i="9"/>
  <c r="AO105" i="9"/>
  <c r="AO111" i="9"/>
  <c r="AS161" i="9"/>
  <c r="AP198" i="9"/>
  <c r="G59" i="12"/>
  <c r="G60" i="12"/>
  <c r="AP151" i="9"/>
  <c r="AR151" i="9" s="1"/>
  <c r="AO19" i="9"/>
  <c r="AO32" i="9"/>
  <c r="AP171" i="9"/>
  <c r="G27" i="12"/>
  <c r="G28" i="12"/>
  <c r="AN7" i="17" l="1"/>
  <c r="AN5" i="17"/>
  <c r="AR198" i="9"/>
  <c r="AS49" i="9"/>
  <c r="AR49" i="9"/>
  <c r="AP92" i="9"/>
  <c r="AR92" i="9" s="1"/>
  <c r="AS198" i="9"/>
  <c r="AR178" i="9"/>
  <c r="AS151" i="9"/>
  <c r="AR18" i="9"/>
  <c r="AR171" i="9"/>
  <c r="AS171" i="9"/>
  <c r="AP252" i="9" l="1"/>
  <c r="AR241" i="9"/>
  <c r="AP251" i="9"/>
  <c r="AS92" i="9"/>
  <c r="AS18" i="9"/>
  <c r="AB248" i="9" l="1"/>
  <c r="AL248" i="9"/>
  <c r="G248" i="9"/>
  <c r="C248" i="9"/>
  <c r="Z248" i="9"/>
  <c r="P248" i="9"/>
  <c r="K248" i="9"/>
  <c r="AH248" i="9"/>
  <c r="AF248" i="9"/>
  <c r="U248" i="9"/>
  <c r="M248" i="9"/>
  <c r="R248" i="9"/>
  <c r="D248" i="9"/>
  <c r="AK248" i="9"/>
  <c r="H248" i="9"/>
  <c r="J248" i="9"/>
  <c r="I248" i="9"/>
  <c r="N248" i="9"/>
  <c r="Y248" i="9"/>
  <c r="T248" i="9"/>
  <c r="AA248" i="9"/>
  <c r="AJ248" i="9"/>
  <c r="E248" i="9"/>
  <c r="O248" i="9"/>
  <c r="F248" i="9"/>
  <c r="AD248" i="9"/>
  <c r="W248" i="9"/>
  <c r="Q248" i="9"/>
  <c r="AE248" i="9"/>
  <c r="V248" i="9"/>
  <c r="AG248" i="9"/>
  <c r="AI248" i="9"/>
  <c r="S248" i="9"/>
  <c r="AM248" i="9"/>
  <c r="AC248" i="9"/>
  <c r="X248" i="9"/>
  <c r="L248" i="9"/>
  <c r="AR252" i="9"/>
  <c r="AR251" i="9"/>
</calcChain>
</file>

<file path=xl/sharedStrings.xml><?xml version="1.0" encoding="utf-8"?>
<sst xmlns="http://schemas.openxmlformats.org/spreadsheetml/2006/main" count="834" uniqueCount="440">
  <si>
    <t>Project Management and Common Systems</t>
  </si>
  <si>
    <t>Proj. dur. (Mons):</t>
  </si>
  <si>
    <t>May-25</t>
  </si>
  <si>
    <t>Comments</t>
  </si>
  <si>
    <t>Sub total hours</t>
  </si>
  <si>
    <t>Hours Total:</t>
  </si>
  <si>
    <t>Hour Price (EUR):</t>
  </si>
  <si>
    <t>Total cost (EUR):</t>
  </si>
  <si>
    <t>Loading Avg.</t>
  </si>
  <si>
    <t>Basic Design</t>
  </si>
  <si>
    <t>Detailed design</t>
  </si>
  <si>
    <t>Manufacturing</t>
  </si>
  <si>
    <t>FAT</t>
  </si>
  <si>
    <t>Deliv.</t>
  </si>
  <si>
    <t>Installation</t>
  </si>
  <si>
    <t>HAT</t>
  </si>
  <si>
    <t>Sailaway</t>
  </si>
  <si>
    <t>Offshore SAT</t>
  </si>
  <si>
    <t>Hold</t>
  </si>
  <si>
    <t>As Built + Proj. Closure</t>
  </si>
  <si>
    <t>Detailed Design (Primary Parts)</t>
  </si>
  <si>
    <t>Manufacturing (Primary Parts)</t>
  </si>
  <si>
    <t>FAT Testing (Primary Parts)</t>
  </si>
  <si>
    <t>Detailed Design (Secondary Systems)</t>
  </si>
  <si>
    <t>Manufacturing (Secondary Parts)</t>
  </si>
  <si>
    <t>FAT Testing (Secondary Parts)</t>
  </si>
  <si>
    <t>Delivery to Site</t>
  </si>
  <si>
    <t>Installation at Yard</t>
  </si>
  <si>
    <t>OSAT</t>
  </si>
  <si>
    <t>Project Closure</t>
  </si>
  <si>
    <t>General PM</t>
  </si>
  <si>
    <t>Project startup</t>
  </si>
  <si>
    <t>Contract Reading</t>
  </si>
  <si>
    <t>Project Plan</t>
  </si>
  <si>
    <t>Time Schedule</t>
  </si>
  <si>
    <t>WBS plan</t>
  </si>
  <si>
    <t>Risk&amp;Opportunity Analysis</t>
  </si>
  <si>
    <t>Document Structure (Sharepoint + Tekdok)</t>
  </si>
  <si>
    <t>Requirement Register</t>
  </si>
  <si>
    <t>Stakeholder Analysis</t>
  </si>
  <si>
    <t>Procurement Plan</t>
  </si>
  <si>
    <t>Project Kick off Meeting Prep</t>
  </si>
  <si>
    <t>Project Kick off Meeting with Team</t>
  </si>
  <si>
    <t>Project Quality Plan</t>
  </si>
  <si>
    <t>Project group meetings</t>
  </si>
  <si>
    <t>Prep for meetings</t>
  </si>
  <si>
    <t>Meetings</t>
  </si>
  <si>
    <t>Project reviews (Milestones)</t>
  </si>
  <si>
    <t>Project follow-up</t>
  </si>
  <si>
    <t>Economy Followup</t>
  </si>
  <si>
    <t>Followup on PM processes</t>
  </si>
  <si>
    <t>Project closing and evaluation</t>
  </si>
  <si>
    <t>Project closure Report</t>
  </si>
  <si>
    <t>Handover meeting to Service</t>
  </si>
  <si>
    <t>Financial Closing</t>
  </si>
  <si>
    <t>Archiving Documentation</t>
  </si>
  <si>
    <t>Contract closing with Customer</t>
  </si>
  <si>
    <t>Monthly progress report to customer</t>
  </si>
  <si>
    <t>Project follow-up with customer</t>
  </si>
  <si>
    <t>External meetings</t>
  </si>
  <si>
    <t>TPM, Mechanical (GIS, TR, SHR, EAT)</t>
  </si>
  <si>
    <t>TR &amp; SHR Coordination</t>
  </si>
  <si>
    <t>Coordination/alignment/project meetings</t>
  </si>
  <si>
    <t>Basic Design Preparation</t>
  </si>
  <si>
    <t>Detailed Design Preparation</t>
  </si>
  <si>
    <t>Logistics coordination &amp; Factory</t>
  </si>
  <si>
    <t>Site Coordination</t>
  </si>
  <si>
    <t>Hand Over Activities</t>
  </si>
  <si>
    <t>Coordinating EAT Delivery</t>
  </si>
  <si>
    <t>Activities 66kV GIS</t>
  </si>
  <si>
    <t>Primary Parts</t>
  </si>
  <si>
    <t>Secondary Parts</t>
  </si>
  <si>
    <t>Fabrication</t>
  </si>
  <si>
    <t>Transportation</t>
  </si>
  <si>
    <t>Control Cabling</t>
  </si>
  <si>
    <t>Installation &amp; commissioning</t>
  </si>
  <si>
    <t>Back office I&amp;C Support</t>
  </si>
  <si>
    <t>Activities 275kV GIS</t>
  </si>
  <si>
    <t>TPM, Electrical (Interfaces, Secondary Systems &amp; Control Cable Eng.)</t>
  </si>
  <si>
    <t>Interface Management Tasks</t>
  </si>
  <si>
    <t>Interface Mapping</t>
  </si>
  <si>
    <t>Alignment of Interfaces with factories &amp; suppliers</t>
  </si>
  <si>
    <t>Workshops on Platform Design</t>
  </si>
  <si>
    <t>Workshops for internal Interfaces</t>
  </si>
  <si>
    <t>Site Interface Coordination/Support</t>
  </si>
  <si>
    <t>Cable Engineering</t>
  </si>
  <si>
    <t>Alignment of cable interfaces</t>
  </si>
  <si>
    <t>Alignment of cable overview/tool</t>
  </si>
  <si>
    <t>Alignment of cable installation documentation</t>
  </si>
  <si>
    <t>Alignment of cable schedules after site works</t>
  </si>
  <si>
    <t>Coordination of cable works on site</t>
  </si>
  <si>
    <t>Lead Engineer, Control Cables</t>
  </si>
  <si>
    <t>Creation of Cable Overview/Cable Tool</t>
  </si>
  <si>
    <t>Preparation of Cable Documentation for Installation</t>
  </si>
  <si>
    <t>Preparation of Cable Schedules after site works</t>
  </si>
  <si>
    <t>As Built Documentation</t>
  </si>
  <si>
    <t>Lead Engineer, ICMS</t>
  </si>
  <si>
    <t>Preparation of ICMS Specification</t>
  </si>
  <si>
    <t>Preparation of ICMS RFQ Package</t>
  </si>
  <si>
    <t>Facilitation of RFQ Process /w Procurement</t>
  </si>
  <si>
    <t>Alignments with ICMS Supplier</t>
  </si>
  <si>
    <t>Handling Deliverables &amp; Interfaces through project execution</t>
  </si>
  <si>
    <t>FAT Test of Equipment + followup on snags</t>
  </si>
  <si>
    <t>Delivery of Equipment</t>
  </si>
  <si>
    <t>Support during site works</t>
  </si>
  <si>
    <t>Lead Engineer, CT/VT calculations</t>
  </si>
  <si>
    <t>Engineering</t>
  </si>
  <si>
    <t>Clarifications with PCM Team &amp; Protection Studies</t>
  </si>
  <si>
    <t>Calculations of CT &amp; VT Data</t>
  </si>
  <si>
    <t>Alignments with GIS team</t>
  </si>
  <si>
    <t>Alignments with TR, SHR, EAT suppliers on CT's</t>
  </si>
  <si>
    <t>DK CPM (GIS + SCS&amp;P + Overall)</t>
  </si>
  <si>
    <t>Creating WBS structure</t>
  </si>
  <si>
    <t>Setting up project in SAP / Closing</t>
  </si>
  <si>
    <t>Handling invoices + PO's</t>
  </si>
  <si>
    <t>General Followup on project</t>
  </si>
  <si>
    <t>Prep for Economy meetings</t>
  </si>
  <si>
    <t>Economy followup meetings</t>
  </si>
  <si>
    <t>Project meetings</t>
  </si>
  <si>
    <t>SCM prep + meeting</t>
  </si>
  <si>
    <t>DK QMiP</t>
  </si>
  <si>
    <t>66kV GIS</t>
  </si>
  <si>
    <t>Planning QA activities</t>
  </si>
  <si>
    <t>Preparation of PQP</t>
  </si>
  <si>
    <t>Support for preparation of ITP's</t>
  </si>
  <si>
    <t>Inspections site</t>
  </si>
  <si>
    <t>Monthly reporting</t>
  </si>
  <si>
    <t>Project Meetings</t>
  </si>
  <si>
    <t>PM assessments</t>
  </si>
  <si>
    <t>QC</t>
  </si>
  <si>
    <t>DK EHS</t>
  </si>
  <si>
    <t>Preparation of EHS Plans</t>
  </si>
  <si>
    <t>RA/MS</t>
  </si>
  <si>
    <t>Site Follow up / meetings</t>
  </si>
  <si>
    <t>Site Inspections</t>
  </si>
  <si>
    <t>HAZID WS</t>
  </si>
  <si>
    <t>COSHH</t>
  </si>
  <si>
    <t>HSF documentation</t>
  </si>
  <si>
    <t>DK Purchaser / Strategic Procurement</t>
  </si>
  <si>
    <t>Creating Purchase Plan</t>
  </si>
  <si>
    <t>Placing PO's</t>
  </si>
  <si>
    <t>Assistance with suppliers</t>
  </si>
  <si>
    <t>ICMS Tender</t>
  </si>
  <si>
    <t>Participation in Project Meetings</t>
  </si>
  <si>
    <t>Secondary Engineer Lead</t>
  </si>
  <si>
    <t>Activities 66kV GIS + Protection Panels</t>
  </si>
  <si>
    <t>FAT &amp; SAT</t>
  </si>
  <si>
    <t>As Built</t>
  </si>
  <si>
    <t>Activities 275kV GIS + Protection Panels</t>
  </si>
  <si>
    <t>DK Document Controller</t>
  </si>
  <si>
    <t>Setting up document structure</t>
  </si>
  <si>
    <t>Final As Built documentation</t>
  </si>
  <si>
    <t>General ongoing documentation followup</t>
  </si>
  <si>
    <t>Offshore Commissioning</t>
  </si>
  <si>
    <t>Activities Transformers</t>
  </si>
  <si>
    <t>Design Documentation</t>
  </si>
  <si>
    <t>FAT &amp; Protocols</t>
  </si>
  <si>
    <t>Site Documentation</t>
  </si>
  <si>
    <t>Activities Shunt Reactors</t>
  </si>
  <si>
    <t>Activities Earthing Auxiliary Transformers</t>
  </si>
  <si>
    <t>Activities ICMS</t>
  </si>
  <si>
    <t>Activities Control Cabling</t>
  </si>
  <si>
    <t>Contract Manager</t>
  </si>
  <si>
    <t>Total All Project:</t>
  </si>
  <si>
    <t>EA1N Site Manager</t>
  </si>
  <si>
    <t>EA1N Site HSE Manager</t>
  </si>
  <si>
    <t>EA1N Site Commissioning Manager</t>
  </si>
  <si>
    <t>Total Site Cost:</t>
  </si>
  <si>
    <t>DK Project Travel Cost</t>
  </si>
  <si>
    <t>See tab "DK Project Travel Cost"</t>
  </si>
  <si>
    <t>Total All:</t>
  </si>
  <si>
    <t>Total All (w/o Site):</t>
  </si>
  <si>
    <t>Activity:</t>
  </si>
  <si>
    <t>Travels Ext:</t>
  </si>
  <si>
    <t>Travels DK:</t>
  </si>
  <si>
    <t>Days:</t>
  </si>
  <si>
    <t>PM Travel</t>
  </si>
  <si>
    <t>TPM Mechanical Travel</t>
  </si>
  <si>
    <t>Transformer &amp; SHR FAT</t>
  </si>
  <si>
    <t>EAT FAT</t>
  </si>
  <si>
    <t>GIS 66kV FAT</t>
  </si>
  <si>
    <t>GIS 275kV FAT</t>
  </si>
  <si>
    <t>TR &amp; SHR Site</t>
  </si>
  <si>
    <t>GIS 66kV Site</t>
  </si>
  <si>
    <t>GIS 275kV Site</t>
  </si>
  <si>
    <t>TPM Electrical &amp; Interface Travel</t>
  </si>
  <si>
    <t>Site Interfaces</t>
  </si>
  <si>
    <t>Site Cables</t>
  </si>
  <si>
    <t>QEHSMiP Travel</t>
  </si>
  <si>
    <t>Lead Engineer ICMS Travel</t>
  </si>
  <si>
    <t>ICMS FAT</t>
  </si>
  <si>
    <t>ICMS Site</t>
  </si>
  <si>
    <t>Secondary Engineer Travel</t>
  </si>
  <si>
    <t>66kV GIS FAT</t>
  </si>
  <si>
    <t>275kV GIS FAT</t>
  </si>
  <si>
    <t>66kV GIS SAT</t>
  </si>
  <si>
    <t>275kV GIS SAT</t>
  </si>
  <si>
    <t>Totals:</t>
  </si>
  <si>
    <t>Cost pr. Travel Abroad:</t>
  </si>
  <si>
    <t>Price:</t>
  </si>
  <si>
    <t>Amount:</t>
  </si>
  <si>
    <t>total:</t>
  </si>
  <si>
    <t>Flight Tickets (round trip)</t>
  </si>
  <si>
    <t>Cost pr. Travel DK:</t>
  </si>
  <si>
    <t>Car travel 300km</t>
  </si>
  <si>
    <t>Cost pr. Day:</t>
  </si>
  <si>
    <t>Hotel</t>
  </si>
  <si>
    <t>Rental Car</t>
  </si>
  <si>
    <t>Allowance/Meals</t>
  </si>
  <si>
    <t xml:space="preserve">Project type </t>
  </si>
  <si>
    <t>Insert:</t>
  </si>
  <si>
    <t>Variable</t>
  </si>
  <si>
    <t>Project duration in months:</t>
  </si>
  <si>
    <t>x</t>
  </si>
  <si>
    <t>Project duration of site activities in Weeks:</t>
  </si>
  <si>
    <t>z</t>
  </si>
  <si>
    <t>Amount of switchgears:</t>
  </si>
  <si>
    <t>y</t>
  </si>
  <si>
    <t>Manufacturing duration in months:</t>
  </si>
  <si>
    <t>u</t>
  </si>
  <si>
    <t>If Onshore Project (Insert 1)</t>
  </si>
  <si>
    <t>v</t>
  </si>
  <si>
    <t>Total amount of typicals all switchgears</t>
  </si>
  <si>
    <t>w</t>
  </si>
  <si>
    <t>Total amount of Bay's all switchgears</t>
  </si>
  <si>
    <t>q</t>
  </si>
  <si>
    <t>Manpower for Installation</t>
  </si>
  <si>
    <t>o</t>
  </si>
  <si>
    <t>LCC (Free Standing/Integrated)</t>
  </si>
  <si>
    <t>a</t>
  </si>
  <si>
    <t>LCC Typicals</t>
  </si>
  <si>
    <t>b</t>
  </si>
  <si>
    <t>Protection Panel (Free Standing)</t>
  </si>
  <si>
    <t>d</t>
  </si>
  <si>
    <t>Protection Typicals</t>
  </si>
  <si>
    <t>e</t>
  </si>
  <si>
    <t>Combined Panel (Free Standing/Integrated)</t>
  </si>
  <si>
    <t>f</t>
  </si>
  <si>
    <t>Combined Panel Typicals</t>
  </si>
  <si>
    <t>g</t>
  </si>
  <si>
    <t>SCADA Panel</t>
  </si>
  <si>
    <t>h</t>
  </si>
  <si>
    <t>SCADA Panel Typicals</t>
  </si>
  <si>
    <t>i</t>
  </si>
  <si>
    <t>US/UK Requirements</t>
  </si>
  <si>
    <t>x1,3</t>
  </si>
  <si>
    <t>j</t>
  </si>
  <si>
    <t>Pre-FAT Required</t>
  </si>
  <si>
    <t>x2</t>
  </si>
  <si>
    <t>k</t>
  </si>
  <si>
    <t>Engineering Hours</t>
  </si>
  <si>
    <t>Hours per month:</t>
  </si>
  <si>
    <t>Total TPM Hours:</t>
  </si>
  <si>
    <t>Total Engineer Hours:</t>
  </si>
  <si>
    <t>Total Doc. Controller Hours:</t>
  </si>
  <si>
    <t>220kV GIS</t>
  </si>
  <si>
    <t>xx</t>
  </si>
  <si>
    <t>zz</t>
  </si>
  <si>
    <t>yy</t>
  </si>
  <si>
    <t>uu</t>
  </si>
  <si>
    <t>vv</t>
  </si>
  <si>
    <t>ww</t>
  </si>
  <si>
    <t>qq</t>
  </si>
  <si>
    <t>oo</t>
  </si>
  <si>
    <t>aa</t>
  </si>
  <si>
    <t>bb</t>
  </si>
  <si>
    <t>dd</t>
  </si>
  <si>
    <t>ee</t>
  </si>
  <si>
    <t>ff</t>
  </si>
  <si>
    <t>gg</t>
  </si>
  <si>
    <t>hh</t>
  </si>
  <si>
    <t>ii</t>
  </si>
  <si>
    <t>jj</t>
  </si>
  <si>
    <t>kk</t>
  </si>
  <si>
    <t>Hours:</t>
  </si>
  <si>
    <t>Total Hours:</t>
  </si>
  <si>
    <t>TPM</t>
  </si>
  <si>
    <t>Engineer</t>
  </si>
  <si>
    <t>Doc Controller</t>
  </si>
  <si>
    <r>
      <rPr>
        <b/>
        <sz val="10"/>
        <color theme="1"/>
        <rFont val="Arial"/>
        <family val="2"/>
      </rPr>
      <t>TT WBD Primary parts</t>
    </r>
    <r>
      <rPr>
        <sz val="11"/>
        <color theme="1"/>
        <rFont val="Calibri"/>
        <family val="2"/>
        <scheme val="minor"/>
      </rPr>
      <t xml:space="preserve">
Before design freeze</t>
    </r>
  </si>
  <si>
    <t>Give input to ITP</t>
  </si>
  <si>
    <t>Split between 66kV &amp; 155kV</t>
  </si>
  <si>
    <t>Clarification of Single Line Diagram</t>
  </si>
  <si>
    <t>Clarification of Layout and sections</t>
  </si>
  <si>
    <t>Clarification of Constructional data</t>
  </si>
  <si>
    <t>Clarification of 3D model</t>
  </si>
  <si>
    <t>Clarification of SKID solution</t>
  </si>
  <si>
    <t>Not Relevant</t>
  </si>
  <si>
    <t>Clarification of accessibility to devices</t>
  </si>
  <si>
    <t>Part of SAG Scope, only coordination required</t>
  </si>
  <si>
    <t>Clarification of Earthing plan</t>
  </si>
  <si>
    <t>Only checks</t>
  </si>
  <si>
    <t>Clarification of device drawings for HV devices</t>
  </si>
  <si>
    <t>Clarification of electrical load list for devices</t>
  </si>
  <si>
    <t>Generation of Technical Description</t>
  </si>
  <si>
    <t>Not required, SAG provides</t>
  </si>
  <si>
    <t>Generation of design report acc to MTS</t>
  </si>
  <si>
    <t>Design review meeting</t>
  </si>
  <si>
    <t>Design Review meeting with customer</t>
  </si>
  <si>
    <t>Document controlling</t>
  </si>
  <si>
    <t>After design freeze</t>
  </si>
  <si>
    <t>Clarification of detailed steel drawings for manufact.</t>
  </si>
  <si>
    <t>Clarification of detailed gangway drawings for manufact.</t>
  </si>
  <si>
    <t>Clarification of detailed earthing for manufact.</t>
  </si>
  <si>
    <t>Part of SAG Scope</t>
  </si>
  <si>
    <t>Clarification of CB model, capacitive model, ferro ressonn</t>
  </si>
  <si>
    <t>Not required</t>
  </si>
  <si>
    <t>Clarification of FAT parameters - FAT plan</t>
  </si>
  <si>
    <t>Clarification of SAT protocols</t>
  </si>
  <si>
    <t>Clarification of outstanding points from FAT</t>
  </si>
  <si>
    <t>Planning of logistics to merging point for primary parts</t>
  </si>
  <si>
    <t>Merging point not relevant</t>
  </si>
  <si>
    <t>Clarification of labeling</t>
  </si>
  <si>
    <t>Follow up on delivery (NCR, missing parts etc.)</t>
  </si>
  <si>
    <t>Clarification of As built for primary parts</t>
  </si>
  <si>
    <t>Document controling</t>
  </si>
  <si>
    <t>Activities for fabrication</t>
  </si>
  <si>
    <t>FAT Berlin</t>
  </si>
  <si>
    <t>1 day travel + 1 day FAT</t>
  </si>
  <si>
    <t xml:space="preserve">Activities for transportation </t>
  </si>
  <si>
    <t>Planning of logistics from factory/merging point to site</t>
  </si>
  <si>
    <t>Planning of logistic of direct supplies from factory to merging point</t>
  </si>
  <si>
    <t>Clarification of storage conditions at site</t>
  </si>
  <si>
    <r>
      <rPr>
        <b/>
        <sz val="10"/>
        <color theme="1"/>
        <rFont val="Arial"/>
        <family val="2"/>
      </rPr>
      <t>TT WBS Secondary parts</t>
    </r>
    <r>
      <rPr>
        <sz val="11"/>
        <color theme="1"/>
        <rFont val="Calibri"/>
        <family val="2"/>
        <scheme val="minor"/>
      </rPr>
      <t xml:space="preserve">
Before design freeze</t>
    </r>
  </si>
  <si>
    <t>Review of secondary device drawings</t>
  </si>
  <si>
    <t>Creation of load list for devices</t>
  </si>
  <si>
    <t>Clarification of input from Employers requirements</t>
  </si>
  <si>
    <t>Creation of interlocking concept</t>
  </si>
  <si>
    <t>Creation of basic design document for Panels</t>
  </si>
  <si>
    <t>Creation of wiring diagrams common drawings</t>
  </si>
  <si>
    <t>Creation of Wiring diagrams LCC Typical x / Per typical</t>
  </si>
  <si>
    <t>Creation of Wiring diagrams LCC Typical x / per swg ( meetering typpical)</t>
  </si>
  <si>
    <t>Integration of Protection Devices in Panels</t>
  </si>
  <si>
    <t>Integration of BCU in Panels</t>
  </si>
  <si>
    <t>Design Review meeting with customer TPM + ENG</t>
  </si>
  <si>
    <t>Creation of all LCC for all panels</t>
  </si>
  <si>
    <t>Submittal of documentation for manufact.</t>
  </si>
  <si>
    <t>Submittal of documentation for test boxes</t>
  </si>
  <si>
    <t>Preparation of FAT documentation (ELCAD/Print out)</t>
  </si>
  <si>
    <t>Clarification of outstanding points FAT</t>
  </si>
  <si>
    <t>Preparation of SAT documentation (ELCAD/print out)</t>
  </si>
  <si>
    <t>Planning of logistics to merging point for secondary parts</t>
  </si>
  <si>
    <t>Creation of As built for secondary parts</t>
  </si>
  <si>
    <t>Execution of FAT Poland (LCC functional test)</t>
  </si>
  <si>
    <t>Part of Calculation</t>
  </si>
  <si>
    <t>Activities for transportation</t>
  </si>
  <si>
    <r>
      <rPr>
        <b/>
        <sz val="10"/>
        <color theme="1"/>
        <rFont val="Arial"/>
        <family val="2"/>
      </rPr>
      <t>Control cables</t>
    </r>
    <r>
      <rPr>
        <sz val="11"/>
        <color theme="1"/>
        <rFont val="Calibri"/>
        <family val="2"/>
        <scheme val="minor"/>
      </rPr>
      <t xml:space="preserve">
Before design freeze</t>
    </r>
  </si>
  <si>
    <t>Clarification of voltage drops and general cable specification</t>
  </si>
  <si>
    <t>Generation of cable lists for typical x / hours per typical</t>
  </si>
  <si>
    <t>Generation of cable lists for typical x / hours per SWG</t>
  </si>
  <si>
    <t>Clarification Harting design and glands</t>
  </si>
  <si>
    <t>Submittal of documentation for manufact. HELU</t>
  </si>
  <si>
    <t>Submittal of documentation for manufact. ETP</t>
  </si>
  <si>
    <t>Clarification as built for control cables</t>
  </si>
  <si>
    <r>
      <rPr>
        <b/>
        <sz val="10"/>
        <rFont val="Arial"/>
        <family val="2"/>
      </rPr>
      <t>Installation and commisioning</t>
    </r>
    <r>
      <rPr>
        <sz val="10"/>
        <rFont val="Arial"/>
        <family val="2"/>
      </rPr>
      <t xml:space="preserve">
Activity for instalation</t>
    </r>
  </si>
  <si>
    <t>Clarification of ressources (reservation in HQ)</t>
  </si>
  <si>
    <t>Evaluation of installation concept - give input to design group</t>
  </si>
  <si>
    <t>Give input to HSE plan and RAMS in regards to method statements</t>
  </si>
  <si>
    <t>Clarification preconditions for site work</t>
  </si>
  <si>
    <t>Create detailed installation time schedule</t>
  </si>
  <si>
    <t>Planning of logistics of tool container</t>
  </si>
  <si>
    <t>Site visits from back office</t>
  </si>
  <si>
    <t>Clarification filled out installation protocols for as built</t>
  </si>
  <si>
    <t xml:space="preserve">Activity for SAT &amp; commisionning </t>
  </si>
  <si>
    <t>Evaluation of commisioning concept - give input to design group</t>
  </si>
  <si>
    <t>Create detailed commisioning time schedule</t>
  </si>
  <si>
    <t>Planning of logistics of commisioning tools</t>
  </si>
  <si>
    <t>Back office comm</t>
  </si>
  <si>
    <t>Clarification filled out SAT protocols for as built</t>
  </si>
  <si>
    <r>
      <rPr>
        <b/>
        <sz val="10"/>
        <rFont val="Arial"/>
        <family val="2"/>
      </rPr>
      <t xml:space="preserve">Order of accesorries for GIS installation
</t>
    </r>
    <r>
      <rPr>
        <sz val="10"/>
        <rFont val="Arial"/>
        <family val="2"/>
      </rPr>
      <t>Activity for instalation</t>
    </r>
  </si>
  <si>
    <t>Handling chemicals from Berlin</t>
  </si>
  <si>
    <t>Handling order SF6 gas</t>
  </si>
  <si>
    <t>Part of SAG order</t>
  </si>
  <si>
    <t>Clarification of Safety Data sheets - give input to HSE</t>
  </si>
  <si>
    <t>Planning of logitics of Chemicals and SF6 gas to site</t>
  </si>
  <si>
    <r>
      <rPr>
        <b/>
        <sz val="10"/>
        <color theme="1"/>
        <rFont val="Arial"/>
        <family val="2"/>
      </rPr>
      <t>Order of manpower for installation</t>
    </r>
    <r>
      <rPr>
        <sz val="11"/>
        <color theme="1"/>
        <rFont val="Calibri"/>
        <family val="2"/>
        <scheme val="minor"/>
      </rPr>
      <t xml:space="preserve">
Activity for instalation</t>
    </r>
  </si>
  <si>
    <t>Give technical input to tender material</t>
  </si>
  <si>
    <t>Not relevant, Customer provision</t>
  </si>
  <si>
    <t>Prepare site documentation for manpower company</t>
  </si>
  <si>
    <t>Follow up on progress on site (2h/week)</t>
  </si>
  <si>
    <t>Collection of installation protocols filled out by manpower company</t>
  </si>
  <si>
    <r>
      <rPr>
        <b/>
        <sz val="10"/>
        <color theme="1"/>
        <rFont val="Arial"/>
        <family val="2"/>
      </rPr>
      <t xml:space="preserve">Order of lifting equipment and scaffolding </t>
    </r>
    <r>
      <rPr>
        <sz val="11"/>
        <color theme="1"/>
        <rFont val="Calibri"/>
        <family val="2"/>
        <scheme val="minor"/>
      </rPr>
      <t xml:space="preserve">
Activity for instalation</t>
    </r>
  </si>
  <si>
    <t>Clarify type of cranes needed</t>
  </si>
  <si>
    <t>Clarify type of scaffolding needed</t>
  </si>
  <si>
    <t>Clarification of lifting plans</t>
  </si>
  <si>
    <t xml:space="preserve">Submit orders </t>
  </si>
  <si>
    <r>
      <rPr>
        <b/>
        <sz val="10"/>
        <color theme="1"/>
        <rFont val="Arial"/>
        <family val="2"/>
      </rPr>
      <t>IDB - BCU</t>
    </r>
    <r>
      <rPr>
        <sz val="11"/>
        <color theme="1"/>
        <rFont val="Calibri"/>
        <family val="2"/>
        <scheme val="minor"/>
      </rPr>
      <t xml:space="preserve">
After design freeze</t>
    </r>
  </si>
  <si>
    <t>Clarification of signal list (to be filled out)</t>
  </si>
  <si>
    <t>Clarification logics and LEDs (to be filled out)</t>
  </si>
  <si>
    <t>Paramatrisation of DIGSI (to be filled out)</t>
  </si>
  <si>
    <t>As built documentation</t>
  </si>
  <si>
    <t>Execution of FAT Poland (BCU/functional test)</t>
  </si>
  <si>
    <t>Activity for SAT &amp; commisionning</t>
  </si>
  <si>
    <t>Execution of SAT UK site (assistance to the SIE AG comm engineer) Hours per Bay</t>
  </si>
  <si>
    <t>Execution of SAT UK site (assistance to the SIE AG comm engineer) hours per SWG</t>
  </si>
  <si>
    <t>Back office support for inst.</t>
  </si>
  <si>
    <t>Preparation of the switchgear for sail-away</t>
  </si>
  <si>
    <t xml:space="preserve">Back office </t>
  </si>
  <si>
    <t>Filling of SF6 offshore, testing and final commissioning</t>
  </si>
  <si>
    <t>TPM:</t>
  </si>
  <si>
    <t>Primary Parts - Basic design:</t>
  </si>
  <si>
    <t>Primary Parts - Detailed design:</t>
  </si>
  <si>
    <t>Primary Parts - Manufact. &amp; FAT:</t>
  </si>
  <si>
    <t>Primary Parts - Delivery:</t>
  </si>
  <si>
    <t>Sec Parts - Detailed Design:</t>
  </si>
  <si>
    <t>Sec Parts - Delivery:</t>
  </si>
  <si>
    <t>Cables - Basic Design:</t>
  </si>
  <si>
    <t>Cables - Detailed Design:</t>
  </si>
  <si>
    <t>Cables - Delivery:</t>
  </si>
  <si>
    <t>I&amp;C - Installation:</t>
  </si>
  <si>
    <t>I&amp;C - SAT:</t>
  </si>
  <si>
    <t>I&amp;C - Back office support:</t>
  </si>
  <si>
    <t>Sec. Eng:</t>
  </si>
  <si>
    <t>Sec Parts - Basic design:</t>
  </si>
  <si>
    <t>Sec Parts - FAT</t>
  </si>
  <si>
    <t>Sec Parts - As Built</t>
  </si>
  <si>
    <t>Doc. Controller:</t>
  </si>
  <si>
    <t>Handled in 66kV</t>
  </si>
  <si>
    <t>Creation of basic design document LCC &amp; BCU</t>
  </si>
  <si>
    <t>Integration of BCU in Panel</t>
  </si>
  <si>
    <t>Included in 66kV</t>
  </si>
  <si>
    <t>Performed in 66kV GIS</t>
  </si>
  <si>
    <t>Input to 66kV GIS schedule</t>
  </si>
  <si>
    <t>Included in 66kV GIS</t>
  </si>
  <si>
    <t>Part of SAG scope</t>
  </si>
  <si>
    <t>Project Role:</t>
  </si>
  <si>
    <t>Project Duration:</t>
  </si>
  <si>
    <t>Month:</t>
  </si>
  <si>
    <t>Project Average:</t>
  </si>
  <si>
    <t>Secondary Engineer (Engineering Assistance)</t>
  </si>
  <si>
    <t>&lt;Project_Name&gt;</t>
  </si>
  <si>
    <t>Project Controller/CPM</t>
  </si>
  <si>
    <t>Quality Manager</t>
  </si>
  <si>
    <t>EHS Manager</t>
  </si>
  <si>
    <t>Purchaser / Strategic Procurement</t>
  </si>
  <si>
    <t>Secondary Engineer</t>
  </si>
  <si>
    <t>Site Manager</t>
  </si>
  <si>
    <t>Site HSE Manager</t>
  </si>
  <si>
    <t>Site Commissioning Manager</t>
  </si>
  <si>
    <t>Project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</si>
</sst>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EUR]"/>
    <numFmt numFmtId="165" formatCode="[$€-2]\ 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0" tint="-4.9989318521683403E-2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rgb="FF7030A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2469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20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 indent="2"/>
    </xf>
    <xf numFmtId="0" fontId="0" fillId="0" borderId="0" xfId="0" applyAlignment="1">
      <alignment horizontal="left" wrapText="1" indent="3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10" fontId="0" fillId="0" borderId="0" xfId="0" applyNumberFormat="1"/>
    <xf numFmtId="0" fontId="6" fillId="0" borderId="0" xfId="0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2" fontId="0" fillId="0" borderId="0" xfId="0" applyNumberFormat="1"/>
    <xf numFmtId="0" fontId="8" fillId="0" borderId="0" xfId="0" applyFont="1" applyAlignment="1">
      <alignment horizontal="left" indent="2"/>
    </xf>
    <xf numFmtId="14" fontId="0" fillId="0" borderId="0" xfId="0" applyNumberFormat="1"/>
    <xf numFmtId="0" fontId="7" fillId="0" borderId="0" xfId="0" applyFont="1"/>
    <xf numFmtId="0" fontId="1" fillId="0" borderId="0" xfId="0" applyFont="1" applyAlignment="1">
      <alignment horizontal="center"/>
    </xf>
    <xf numFmtId="0" fontId="9" fillId="0" borderId="0" xfId="0" applyFont="1"/>
    <xf numFmtId="0" fontId="10" fillId="0" borderId="0" xfId="1"/>
    <xf numFmtId="0" fontId="10" fillId="5" borderId="0" xfId="1" applyFill="1"/>
    <xf numFmtId="0" fontId="10" fillId="6" borderId="6" xfId="1" applyFill="1" applyBorder="1"/>
    <xf numFmtId="0" fontId="10" fillId="6" borderId="7" xfId="1" applyFill="1" applyBorder="1"/>
    <xf numFmtId="0" fontId="10" fillId="6" borderId="8" xfId="1" applyFill="1" applyBorder="1"/>
    <xf numFmtId="0" fontId="10" fillId="6" borderId="9" xfId="1" applyFill="1" applyBorder="1"/>
    <xf numFmtId="0" fontId="10" fillId="6" borderId="0" xfId="1" applyFill="1"/>
    <xf numFmtId="1" fontId="11" fillId="7" borderId="0" xfId="1" applyNumberFormat="1" applyFont="1" applyFill="1"/>
    <xf numFmtId="0" fontId="11" fillId="7" borderId="0" xfId="1" applyFont="1" applyFill="1"/>
    <xf numFmtId="0" fontId="10" fillId="6" borderId="10" xfId="1" applyFill="1" applyBorder="1"/>
    <xf numFmtId="1" fontId="12" fillId="7" borderId="0" xfId="1" applyNumberFormat="1" applyFont="1" applyFill="1"/>
    <xf numFmtId="0" fontId="13" fillId="6" borderId="0" xfId="1" applyFont="1" applyFill="1"/>
    <xf numFmtId="0" fontId="14" fillId="6" borderId="0" xfId="1" applyFont="1" applyFill="1"/>
    <xf numFmtId="0" fontId="10" fillId="9" borderId="7" xfId="1" applyFill="1" applyBorder="1"/>
    <xf numFmtId="0" fontId="10" fillId="9" borderId="8" xfId="1" applyFill="1" applyBorder="1"/>
    <xf numFmtId="0" fontId="10" fillId="9" borderId="10" xfId="1" applyFill="1" applyBorder="1"/>
    <xf numFmtId="0" fontId="15" fillId="9" borderId="10" xfId="1" applyFont="1" applyFill="1" applyBorder="1"/>
    <xf numFmtId="0" fontId="10" fillId="9" borderId="11" xfId="1" applyFill="1" applyBorder="1"/>
    <xf numFmtId="0" fontId="10" fillId="9" borderId="12" xfId="1" applyFill="1" applyBorder="1"/>
    <xf numFmtId="0" fontId="10" fillId="6" borderId="13" xfId="1" applyFill="1" applyBorder="1"/>
    <xf numFmtId="0" fontId="10" fillId="6" borderId="11" xfId="1" applyFill="1" applyBorder="1"/>
    <xf numFmtId="0" fontId="10" fillId="6" borderId="12" xfId="1" applyFill="1" applyBorder="1"/>
    <xf numFmtId="0" fontId="10" fillId="0" borderId="0" xfId="1" applyAlignment="1">
      <alignment wrapText="1"/>
    </xf>
    <xf numFmtId="1" fontId="10" fillId="0" borderId="0" xfId="1" applyNumberFormat="1" applyAlignment="1">
      <alignment horizontal="left" wrapText="1"/>
    </xf>
    <xf numFmtId="1" fontId="10" fillId="0" borderId="0" xfId="1" applyNumberFormat="1" applyAlignment="1">
      <alignment wrapText="1"/>
    </xf>
    <xf numFmtId="1" fontId="10" fillId="0" borderId="0" xfId="1" applyNumberFormat="1" applyAlignment="1">
      <alignment horizontal="center" vertical="center" wrapText="1"/>
    </xf>
    <xf numFmtId="0" fontId="10" fillId="0" borderId="0" xfId="1" quotePrefix="1" applyAlignment="1">
      <alignment horizontal="right" wrapText="1"/>
    </xf>
    <xf numFmtId="1" fontId="10" fillId="0" borderId="1" xfId="1" applyNumberFormat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16" fillId="0" borderId="0" xfId="1" applyFont="1"/>
    <xf numFmtId="165" fontId="17" fillId="0" borderId="0" xfId="1" applyNumberFormat="1" applyFont="1" applyAlignment="1">
      <alignment horizontal="right" vertical="center" wrapText="1"/>
    </xf>
    <xf numFmtId="165" fontId="17" fillId="0" borderId="0" xfId="1" applyNumberFormat="1" applyFont="1" applyAlignment="1">
      <alignment horizontal="center" vertical="center" wrapText="1"/>
    </xf>
    <xf numFmtId="1" fontId="14" fillId="0" borderId="0" xfId="1" applyNumberFormat="1" applyFont="1" applyAlignment="1">
      <alignment wrapText="1"/>
    </xf>
    <xf numFmtId="1" fontId="14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wrapText="1"/>
    </xf>
    <xf numFmtId="165" fontId="15" fillId="0" borderId="0" xfId="1" applyNumberFormat="1" applyFont="1" applyAlignment="1">
      <alignment horizontal="center" vertical="center" wrapText="1"/>
    </xf>
    <xf numFmtId="1" fontId="15" fillId="0" borderId="0" xfId="1" applyNumberFormat="1" applyFont="1" applyAlignment="1">
      <alignment wrapText="1"/>
    </xf>
    <xf numFmtId="1" fontId="15" fillId="0" borderId="0" xfId="1" applyNumberFormat="1" applyFont="1" applyAlignment="1">
      <alignment horizontal="center" vertical="center" wrapText="1"/>
    </xf>
    <xf numFmtId="1" fontId="15" fillId="0" borderId="1" xfId="1" applyNumberFormat="1" applyFont="1" applyBorder="1" applyAlignment="1">
      <alignment wrapText="1"/>
    </xf>
    <xf numFmtId="1" fontId="15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wrapText="1"/>
    </xf>
    <xf numFmtId="0" fontId="15" fillId="11" borderId="1" xfId="1" applyFont="1" applyFill="1" applyBorder="1" applyAlignment="1">
      <alignment wrapText="1"/>
    </xf>
    <xf numFmtId="1" fontId="10" fillId="0" borderId="1" xfId="1" applyNumberFormat="1" applyBorder="1" applyAlignment="1">
      <alignment wrapText="1"/>
    </xf>
    <xf numFmtId="0" fontId="10" fillId="11" borderId="1" xfId="1" applyFill="1" applyBorder="1" applyAlignment="1">
      <alignment wrapText="1"/>
    </xf>
    <xf numFmtId="0" fontId="15" fillId="3" borderId="1" xfId="1" applyFont="1" applyFill="1" applyBorder="1" applyAlignment="1">
      <alignment wrapText="1"/>
    </xf>
    <xf numFmtId="0" fontId="10" fillId="3" borderId="1" xfId="1" applyFill="1" applyBorder="1" applyAlignment="1">
      <alignment wrapText="1"/>
    </xf>
    <xf numFmtId="0" fontId="15" fillId="12" borderId="1" xfId="1" applyFont="1" applyFill="1" applyBorder="1" applyAlignment="1">
      <alignment horizontal="left" vertical="top"/>
    </xf>
    <xf numFmtId="0" fontId="10" fillId="12" borderId="1" xfId="1" applyFill="1" applyBorder="1" applyAlignment="1">
      <alignment wrapText="1"/>
    </xf>
    <xf numFmtId="0" fontId="15" fillId="13" borderId="1" xfId="1" applyFont="1" applyFill="1" applyBorder="1"/>
    <xf numFmtId="0" fontId="10" fillId="13" borderId="1" xfId="1" applyFill="1" applyBorder="1" applyAlignment="1">
      <alignment wrapText="1"/>
    </xf>
    <xf numFmtId="0" fontId="15" fillId="13" borderId="1" xfId="1" applyFont="1" applyFill="1" applyBorder="1" applyAlignment="1">
      <alignment wrapText="1"/>
    </xf>
    <xf numFmtId="0" fontId="15" fillId="14" borderId="1" xfId="1" applyFont="1" applyFill="1" applyBorder="1" applyAlignment="1">
      <alignment horizontal="left" vertical="top" wrapText="1"/>
    </xf>
    <xf numFmtId="0" fontId="10" fillId="14" borderId="1" xfId="1" applyFill="1" applyBorder="1" applyAlignment="1">
      <alignment wrapText="1"/>
    </xf>
    <xf numFmtId="0" fontId="15" fillId="12" borderId="1" xfId="1" applyFont="1" applyFill="1" applyBorder="1" applyAlignment="1">
      <alignment horizontal="left" vertical="top" wrapText="1"/>
    </xf>
    <xf numFmtId="0" fontId="15" fillId="12" borderId="1" xfId="1" applyFont="1" applyFill="1" applyBorder="1" applyAlignment="1">
      <alignment horizontal="left" wrapText="1"/>
    </xf>
    <xf numFmtId="0" fontId="15" fillId="15" borderId="1" xfId="1" applyFont="1" applyFill="1" applyBorder="1" applyAlignment="1">
      <alignment horizontal="left" vertical="top" wrapText="1"/>
    </xf>
    <xf numFmtId="0" fontId="15" fillId="3" borderId="1" xfId="1" applyFont="1" applyFill="1" applyBorder="1" applyAlignment="1">
      <alignment horizontal="left" vertical="top" wrapText="1"/>
    </xf>
    <xf numFmtId="0" fontId="15" fillId="4" borderId="1" xfId="1" applyFont="1" applyFill="1" applyBorder="1" applyAlignment="1">
      <alignment horizontal="left" vertical="top" wrapText="1"/>
    </xf>
    <xf numFmtId="0" fontId="10" fillId="4" borderId="1" xfId="1" applyFill="1" applyBorder="1" applyAlignment="1">
      <alignment wrapText="1"/>
    </xf>
    <xf numFmtId="0" fontId="18" fillId="0" borderId="0" xfId="1" applyFont="1"/>
    <xf numFmtId="0" fontId="15" fillId="0" borderId="0" xfId="1" applyFont="1" applyAlignment="1">
      <alignment vertical="center" wrapText="1"/>
    </xf>
    <xf numFmtId="0" fontId="15" fillId="12" borderId="1" xfId="1" applyFont="1" applyFill="1" applyBorder="1" applyAlignment="1">
      <alignment horizontal="left" vertical="center" wrapText="1"/>
    </xf>
    <xf numFmtId="0" fontId="15" fillId="12" borderId="1" xfId="1" applyFont="1" applyFill="1" applyBorder="1" applyAlignment="1">
      <alignment vertical="center" wrapText="1"/>
    </xf>
    <xf numFmtId="1" fontId="15" fillId="0" borderId="1" xfId="1" applyNumberFormat="1" applyFont="1" applyBorder="1" applyAlignment="1">
      <alignment vertical="center" wrapText="1"/>
    </xf>
    <xf numFmtId="0" fontId="15" fillId="14" borderId="1" xfId="1" applyFont="1" applyFill="1" applyBorder="1" applyAlignment="1">
      <alignment horizontal="left" vertical="top"/>
    </xf>
    <xf numFmtId="0" fontId="15" fillId="14" borderId="1" xfId="1" applyFont="1" applyFill="1" applyBorder="1" applyAlignment="1">
      <alignment wrapText="1"/>
    </xf>
    <xf numFmtId="0" fontId="14" fillId="12" borderId="1" xfId="1" applyFont="1" applyFill="1" applyBorder="1" applyAlignment="1">
      <alignment wrapText="1"/>
    </xf>
    <xf numFmtId="0" fontId="15" fillId="15" borderId="1" xfId="1" applyFont="1" applyFill="1" applyBorder="1" applyAlignment="1">
      <alignment wrapText="1"/>
    </xf>
    <xf numFmtId="0" fontId="10" fillId="15" borderId="1" xfId="1" applyFill="1" applyBorder="1" applyAlignment="1">
      <alignment wrapText="1"/>
    </xf>
    <xf numFmtId="0" fontId="14" fillId="15" borderId="1" xfId="1" applyFont="1" applyFill="1" applyBorder="1" applyAlignment="1">
      <alignment wrapText="1"/>
    </xf>
    <xf numFmtId="0" fontId="10" fillId="15" borderId="1" xfId="1" applyFill="1" applyBorder="1" applyAlignment="1">
      <alignment horizontal="left" vertical="top" wrapText="1"/>
    </xf>
    <xf numFmtId="0" fontId="14" fillId="0" borderId="0" xfId="1" applyFont="1" applyAlignment="1">
      <alignment horizontal="center" vertical="center" wrapText="1"/>
    </xf>
    <xf numFmtId="0" fontId="14" fillId="10" borderId="1" xfId="1" applyFont="1" applyFill="1" applyBorder="1" applyAlignment="1">
      <alignment horizontal="center" vertical="center" wrapText="1"/>
    </xf>
    <xf numFmtId="0" fontId="10" fillId="8" borderId="0" xfId="1" applyFill="1" applyAlignment="1" applyProtection="1">
      <alignment horizontal="center"/>
      <protection locked="0"/>
    </xf>
    <xf numFmtId="0" fontId="14" fillId="6" borderId="11" xfId="1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9" borderId="0" xfId="1" applyFill="1"/>
    <xf numFmtId="1" fontId="15" fillId="18" borderId="1" xfId="1" applyNumberFormat="1" applyFont="1" applyFill="1" applyBorder="1" applyAlignment="1">
      <alignment horizontal="center" vertical="center" wrapText="1"/>
    </xf>
    <xf numFmtId="0" fontId="15" fillId="18" borderId="1" xfId="1" applyFont="1" applyFill="1" applyBorder="1" applyAlignment="1">
      <alignment horizontal="left" vertical="top"/>
    </xf>
    <xf numFmtId="1" fontId="10" fillId="18" borderId="1" xfId="1" applyNumberFormat="1" applyFill="1" applyBorder="1" applyAlignment="1">
      <alignment horizontal="center" vertical="center" wrapText="1"/>
    </xf>
    <xf numFmtId="1" fontId="10" fillId="18" borderId="1" xfId="1" applyNumberFormat="1" applyFill="1" applyBorder="1" applyAlignment="1">
      <alignment wrapText="1"/>
    </xf>
    <xf numFmtId="165" fontId="15" fillId="18" borderId="0" xfId="1" applyNumberFormat="1" applyFont="1" applyFill="1" applyAlignment="1">
      <alignment horizontal="center" vertical="center" wrapText="1"/>
    </xf>
    <xf numFmtId="0" fontId="15" fillId="18" borderId="0" xfId="1" applyFont="1" applyFill="1" applyAlignment="1">
      <alignment wrapText="1"/>
    </xf>
    <xf numFmtId="0" fontId="10" fillId="18" borderId="0" xfId="1" applyFill="1"/>
    <xf numFmtId="0" fontId="10" fillId="18" borderId="1" xfId="1" applyFill="1" applyBorder="1" applyAlignment="1">
      <alignment wrapText="1"/>
    </xf>
    <xf numFmtId="1" fontId="15" fillId="17" borderId="1" xfId="1" applyNumberFormat="1" applyFont="1" applyFill="1" applyBorder="1" applyAlignment="1">
      <alignment horizontal="center" vertical="center" wrapText="1"/>
    </xf>
    <xf numFmtId="1" fontId="15" fillId="16" borderId="1" xfId="1" applyNumberFormat="1" applyFont="1" applyFill="1" applyBorder="1" applyAlignment="1">
      <alignment horizontal="center" vertical="center" wrapText="1"/>
    </xf>
    <xf numFmtId="0" fontId="15" fillId="9" borderId="0" xfId="1" applyFont="1" applyFill="1"/>
    <xf numFmtId="0" fontId="10" fillId="8" borderId="15" xfId="1" applyFill="1" applyBorder="1" applyAlignment="1" applyProtection="1">
      <alignment horizontal="center"/>
      <protection locked="0"/>
    </xf>
    <xf numFmtId="0" fontId="10" fillId="8" borderId="16" xfId="1" applyFill="1" applyBorder="1" applyAlignment="1" applyProtection="1">
      <alignment horizontal="center"/>
      <protection locked="0"/>
    </xf>
    <xf numFmtId="0" fontId="10" fillId="8" borderId="17" xfId="1" applyFill="1" applyBorder="1" applyAlignment="1" applyProtection="1">
      <alignment horizontal="center"/>
      <protection locked="0"/>
    </xf>
    <xf numFmtId="0" fontId="10" fillId="8" borderId="18" xfId="1" applyFill="1" applyBorder="1" applyAlignment="1" applyProtection="1">
      <alignment horizontal="center"/>
      <protection locked="0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0" fontId="0" fillId="0" borderId="4" xfId="0" applyBorder="1" applyAlignment="1">
      <alignment wrapText="1"/>
    </xf>
    <xf numFmtId="0" fontId="0" fillId="0" borderId="4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7" fontId="1" fillId="6" borderId="14" xfId="0" applyNumberFormat="1" applyFont="1" applyFill="1" applyBorder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0" fontId="1" fillId="0" borderId="0" xfId="0" applyFont="1" applyAlignment="1">
      <alignment horizontal="center" vertical="center"/>
    </xf>
    <xf numFmtId="0" fontId="0" fillId="11" borderId="0" xfId="0" applyFill="1"/>
    <xf numFmtId="0" fontId="1" fillId="0" borderId="1" xfId="0" applyFont="1" applyBorder="1" applyAlignment="1">
      <alignment horizontal="left" wrapText="1" indent="3"/>
    </xf>
    <xf numFmtId="9" fontId="1" fillId="0" borderId="1" xfId="2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indent="3"/>
    </xf>
    <xf numFmtId="9" fontId="1" fillId="0" borderId="1" xfId="2" applyFont="1" applyBorder="1" applyAlignment="1">
      <alignment horizontal="left" vertical="center"/>
    </xf>
    <xf numFmtId="0" fontId="0" fillId="11" borderId="1" xfId="0" applyFill="1" applyBorder="1" applyAlignment="1">
      <alignment horizontal="left" indent="3"/>
    </xf>
    <xf numFmtId="9" fontId="1" fillId="11" borderId="1" xfId="2" applyFont="1" applyFill="1" applyBorder="1" applyAlignment="1">
      <alignment horizontal="left" vertical="center"/>
    </xf>
    <xf numFmtId="9" fontId="1" fillId="0" borderId="1" xfId="2" applyFont="1" applyBorder="1"/>
    <xf numFmtId="0" fontId="0" fillId="11" borderId="1" xfId="0" applyFill="1" applyBorder="1"/>
    <xf numFmtId="9" fontId="1" fillId="11" borderId="1" xfId="2" applyFont="1" applyFill="1" applyBorder="1"/>
    <xf numFmtId="0" fontId="1" fillId="16" borderId="1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0" fillId="13" borderId="1" xfId="1" applyFill="1" applyBorder="1" applyAlignment="1">
      <alignment horizontal="left" wrapText="1"/>
    </xf>
    <xf numFmtId="0" fontId="10" fillId="18" borderId="1" xfId="1" applyFill="1" applyBorder="1" applyAlignment="1">
      <alignment horizontal="left" wrapText="1"/>
    </xf>
    <xf numFmtId="0" fontId="10" fillId="15" borderId="1" xfId="1" applyFill="1" applyBorder="1" applyAlignment="1">
      <alignment horizontal="left" wrapText="1"/>
    </xf>
    <xf numFmtId="0" fontId="10" fillId="12" borderId="1" xfId="1" applyFill="1" applyBorder="1" applyAlignment="1">
      <alignment horizontal="left" wrapText="1"/>
    </xf>
    <xf numFmtId="0" fontId="15" fillId="13" borderId="1" xfId="1" applyFont="1" applyFill="1" applyBorder="1" applyAlignment="1">
      <alignment horizontal="left" wrapText="1"/>
    </xf>
    <xf numFmtId="0" fontId="0" fillId="0" borderId="0" xfId="0" applyFill="1"/>
    <xf numFmtId="0" fontId="4" fillId="0" borderId="0" xfId="0" applyFont="1" applyFill="1"/>
    <xf numFmtId="0" fontId="0" fillId="0" borderId="0" xfId="0" applyFill="1" applyAlignment="1">
      <alignment horizontal="center"/>
    </xf>
    <xf numFmtId="0" fontId="1" fillId="18" borderId="0" xfId="0" applyFont="1" applyFill="1" applyAlignment="1">
      <alignment wrapText="1"/>
    </xf>
    <xf numFmtId="0" fontId="1" fillId="18" borderId="0" xfId="0" applyFont="1" applyFill="1" applyAlignment="1">
      <alignment horizontal="left" wrapText="1" indent="2"/>
    </xf>
    <xf numFmtId="0" fontId="6" fillId="18" borderId="0" xfId="0" applyFont="1" applyFill="1" applyAlignment="1">
      <alignment horizontal="left" wrapText="1" indent="2"/>
    </xf>
    <xf numFmtId="0" fontId="1" fillId="18" borderId="0" xfId="0" applyFont="1" applyFill="1"/>
    <xf numFmtId="0" fontId="5" fillId="0" borderId="0" xfId="0" applyFont="1" applyFill="1"/>
    <xf numFmtId="2" fontId="0" fillId="18" borderId="0" xfId="0" applyNumberFormat="1" applyFill="1"/>
    <xf numFmtId="9" fontId="0" fillId="0" borderId="0" xfId="0" applyNumberFormat="1" applyAlignment="1"/>
    <xf numFmtId="0" fontId="0" fillId="0" borderId="0" xfId="0" applyAlignment="1"/>
    <xf numFmtId="0" fontId="21" fillId="18" borderId="0" xfId="0" applyFont="1" applyFill="1" applyAlignment="1">
      <alignment wrapText="1"/>
    </xf>
    <xf numFmtId="0" fontId="0" fillId="18" borderId="0" xfId="0" applyFill="1" applyAlignment="1">
      <alignment horizontal="left" wrapText="1" indent="2"/>
    </xf>
    <xf numFmtId="164" fontId="0" fillId="18" borderId="0" xfId="0" applyNumberFormat="1" applyFill="1"/>
    <xf numFmtId="0" fontId="8" fillId="18" borderId="0" xfId="0" applyFont="1" applyFill="1" applyAlignment="1">
      <alignment horizontal="left" indent="2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C5518"/>
      <color rgb="FFB2469D"/>
      <color rgb="FFD99FCE"/>
      <color rgb="FFC232C5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67448887967951"/>
          <c:y val="0.20382255726027138"/>
          <c:w val="0.74201849357646144"/>
          <c:h val="0.71905591063994512"/>
        </c:manualLayout>
      </c:layout>
      <c:barChart>
        <c:barDir val="col"/>
        <c:grouping val="clustered"/>
        <c:varyColors val="0"/>
        <c:ser>
          <c:idx val="0"/>
          <c:order val="0"/>
          <c:tx>
            <c:v>TPM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Hour Overview</c:v>
              </c:pt>
            </c:strLit>
          </c:cat>
          <c:val>
            <c:numRef>
              <c:f>'GIS TPM+Eng Overview'!$G$29</c:f>
              <c:numCache>
                <c:formatCode>0</c:formatCode>
                <c:ptCount val="1"/>
                <c:pt idx="0">
                  <c:v>1730.4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D-4C5D-A6E2-29AC5959FDB8}"/>
            </c:ext>
          </c:extLst>
        </c:ser>
        <c:ser>
          <c:idx val="1"/>
          <c:order val="1"/>
          <c:tx>
            <c:v>Engineer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Hour Overview</c:v>
              </c:pt>
            </c:strLit>
          </c:cat>
          <c:val>
            <c:numRef>
              <c:f>'GIS TPM+Eng Overview'!$G$30</c:f>
              <c:numCache>
                <c:formatCode>0</c:formatCode>
                <c:ptCount val="1"/>
                <c:pt idx="0">
                  <c:v>4369.6000000000004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D-4C5D-A6E2-29AC5959FDB8}"/>
            </c:ext>
          </c:extLst>
        </c:ser>
        <c:ser>
          <c:idx val="2"/>
          <c:order val="2"/>
          <c:tx>
            <c:v>Doc Controller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C6D-4C5D-A6E2-29AC5959FDB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Hour Overview</c:v>
              </c:pt>
            </c:strLit>
          </c:cat>
          <c:val>
            <c:numRef>
              <c:f>'GIS TPM+Eng Overview'!$G$31</c:f>
              <c:numCache>
                <c:formatCode>0</c:formatCode>
                <c:ptCount val="1"/>
                <c:pt idx="0">
                  <c:v>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6D-4C5D-A6E2-29AC5959F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13341176"/>
        <c:axId val="-1913340600"/>
      </c:barChart>
      <c:catAx>
        <c:axId val="-1913341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913340600"/>
        <c:crosses val="autoZero"/>
        <c:auto val="1"/>
        <c:lblAlgn val="ctr"/>
        <c:lblOffset val="100"/>
        <c:noMultiLvlLbl val="0"/>
      </c:catAx>
      <c:valAx>
        <c:axId val="-19133406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19133411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67448887967951"/>
          <c:y val="0.20382255726027138"/>
          <c:w val="0.74201849357646144"/>
          <c:h val="0.71905591063994512"/>
        </c:manualLayout>
      </c:layout>
      <c:barChart>
        <c:barDir val="col"/>
        <c:grouping val="clustered"/>
        <c:varyColors val="0"/>
        <c:ser>
          <c:idx val="0"/>
          <c:order val="0"/>
          <c:tx>
            <c:v>TPM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'GIS TPM+Eng Overview'!$G$61</c:f>
              <c:numCache>
                <c:formatCode>0</c:formatCode>
                <c:ptCount val="1"/>
                <c:pt idx="0">
                  <c:v>1294.4000000000001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0-4A54-A3D1-F0CC270FA5A0}"/>
            </c:ext>
          </c:extLst>
        </c:ser>
        <c:ser>
          <c:idx val="1"/>
          <c:order val="1"/>
          <c:tx>
            <c:v>Engineer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'GIS TPM+Eng Overview'!$G$62</c:f>
              <c:numCache>
                <c:formatCode>0</c:formatCode>
                <c:ptCount val="1"/>
                <c:pt idx="0">
                  <c:v>1413.6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0-4A54-A3D1-F0CC270FA5A0}"/>
            </c:ext>
          </c:extLst>
        </c:ser>
        <c:ser>
          <c:idx val="2"/>
          <c:order val="2"/>
          <c:tx>
            <c:v>Doc Controller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'GIS TPM+Eng Overview'!$G$63</c:f>
              <c:numCache>
                <c:formatCode>0</c:formatCode>
                <c:ptCount val="1"/>
                <c:pt idx="0">
                  <c:v>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50-4A54-A3D1-F0CC270FA5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127248504"/>
        <c:axId val="-1127247928"/>
      </c:barChart>
      <c:catAx>
        <c:axId val="-1127248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127247928"/>
        <c:crosses val="autoZero"/>
        <c:auto val="1"/>
        <c:lblAlgn val="ctr"/>
        <c:lblOffset val="100"/>
        <c:noMultiLvlLbl val="0"/>
      </c:catAx>
      <c:valAx>
        <c:axId val="-11272479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112724850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3</xdr:row>
      <xdr:rowOff>0</xdr:rowOff>
    </xdr:from>
    <xdr:to>
      <xdr:col>13</xdr:col>
      <xdr:colOff>228600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DB13E-D7DF-4D5A-BA21-2C9DA7CD1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35</xdr:row>
      <xdr:rowOff>0</xdr:rowOff>
    </xdr:from>
    <xdr:to>
      <xdr:col>13</xdr:col>
      <xdr:colOff>228600</xdr:colOff>
      <xdr:row>63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8ACE32-C184-4DB1-92C8-C52D5DF06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B293"/>
  <sheetViews>
    <sheetView tabSelected="1" zoomScale="60" zoomScaleNormal="60" workbookViewId="0">
      <pane xSplit="2" ySplit="16" topLeftCell="C17" activePane="bottomRight" state="frozen"/>
      <selection pane="topRight" activeCell="C1" sqref="C1"/>
      <selection pane="bottomLeft" activeCell="A7" sqref="A7"/>
      <selection pane="bottomRight" activeCell="AU3" sqref="AU3:AU5"/>
    </sheetView>
  </sheetViews>
  <sheetFormatPr defaultColWidth="9.1796875" defaultRowHeight="14.5" outlineLevelRow="2" outlineLevelCol="1" x14ac:dyDescent="0.35"/>
  <cols>
    <col min="1" max="1" width="45" style="2" customWidth="1"/>
    <col min="2" max="2" width="14" customWidth="1"/>
    <col min="3" max="39" width="7.7265625" customWidth="1" outlineLevel="1"/>
    <col min="40" max="40" width="18.453125" customWidth="1"/>
    <col min="41" max="41" width="16" customWidth="1"/>
    <col min="42" max="42" width="11.1796875" customWidth="1"/>
    <col min="43" max="43" width="15.453125" customWidth="1"/>
    <col min="44" max="44" width="26.81640625" customWidth="1"/>
    <col min="45" max="45" width="16.81640625" bestFit="1" customWidth="1"/>
    <col min="46" max="46" width="19" customWidth="1"/>
    <col min="47" max="47" width="33.54296875" style="99" customWidth="1"/>
    <col min="48" max="48" width="1.54296875" customWidth="1"/>
    <col min="49" max="49" width="25" customWidth="1"/>
    <col min="51" max="51" width="21.453125" customWidth="1"/>
    <col min="52" max="52" width="19" customWidth="1"/>
    <col min="53" max="53" width="20.54296875" customWidth="1"/>
    <col min="54" max="54" width="21.453125" customWidth="1"/>
  </cols>
  <sheetData>
    <row r="1" spans="1:47" ht="21" x14ac:dyDescent="0.5">
      <c r="A1" s="171" t="s">
        <v>430</v>
      </c>
      <c r="C1" s="17"/>
    </row>
    <row r="2" spans="1:47" ht="15.5" x14ac:dyDescent="0.35">
      <c r="A2" s="1" t="s">
        <v>0</v>
      </c>
      <c r="B2" s="6" t="s">
        <v>427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8">
        <v>32</v>
      </c>
      <c r="AI2" s="8">
        <v>33</v>
      </c>
      <c r="AJ2" s="8">
        <v>34</v>
      </c>
      <c r="AK2" s="8">
        <v>35</v>
      </c>
      <c r="AL2" s="8">
        <v>36</v>
      </c>
      <c r="AM2" s="8">
        <v>37</v>
      </c>
      <c r="AQ2" s="6"/>
      <c r="AR2" s="6" t="s">
        <v>1</v>
      </c>
      <c r="AS2" s="166">
        <v>37</v>
      </c>
    </row>
    <row r="3" spans="1:47" s="97" customFormat="1" x14ac:dyDescent="0.35">
      <c r="A3" s="96"/>
      <c r="B3" s="119"/>
      <c r="C3" s="125">
        <v>44743</v>
      </c>
      <c r="D3" s="125">
        <v>44774</v>
      </c>
      <c r="E3" s="125">
        <v>44805</v>
      </c>
      <c r="F3" s="125">
        <v>44835</v>
      </c>
      <c r="G3" s="125">
        <v>44866</v>
      </c>
      <c r="H3" s="125">
        <v>44896</v>
      </c>
      <c r="I3" s="125">
        <v>44927</v>
      </c>
      <c r="J3" s="125">
        <v>44958</v>
      </c>
      <c r="K3" s="125">
        <v>44986</v>
      </c>
      <c r="L3" s="125">
        <v>45017</v>
      </c>
      <c r="M3" s="125">
        <v>45047</v>
      </c>
      <c r="N3" s="125">
        <v>45078</v>
      </c>
      <c r="O3" s="125">
        <v>45108</v>
      </c>
      <c r="P3" s="125">
        <v>45139</v>
      </c>
      <c r="Q3" s="125">
        <v>45170</v>
      </c>
      <c r="R3" s="125">
        <v>45200</v>
      </c>
      <c r="S3" s="125">
        <v>45231</v>
      </c>
      <c r="T3" s="125">
        <v>45261</v>
      </c>
      <c r="U3" s="125">
        <v>45292</v>
      </c>
      <c r="V3" s="125">
        <v>45323</v>
      </c>
      <c r="W3" s="125">
        <v>45352</v>
      </c>
      <c r="X3" s="125">
        <v>45383</v>
      </c>
      <c r="Y3" s="125">
        <v>45413</v>
      </c>
      <c r="Z3" s="125">
        <v>45444</v>
      </c>
      <c r="AA3" s="125">
        <v>45474</v>
      </c>
      <c r="AB3" s="125">
        <v>45505</v>
      </c>
      <c r="AC3" s="125">
        <v>45536</v>
      </c>
      <c r="AD3" s="125">
        <v>45566</v>
      </c>
      <c r="AE3" s="125">
        <v>45597</v>
      </c>
      <c r="AF3" s="125">
        <v>45627</v>
      </c>
      <c r="AG3" s="125">
        <v>45658</v>
      </c>
      <c r="AH3" s="125">
        <v>45689</v>
      </c>
      <c r="AI3" s="125">
        <v>45717</v>
      </c>
      <c r="AJ3" s="125">
        <v>45748</v>
      </c>
      <c r="AK3" s="125" t="s">
        <v>2</v>
      </c>
      <c r="AL3" s="125">
        <v>45809</v>
      </c>
      <c r="AM3" s="125">
        <v>45839</v>
      </c>
      <c r="AN3" s="97" t="s">
        <v>3</v>
      </c>
      <c r="AO3" s="97" t="s">
        <v>4</v>
      </c>
      <c r="AP3" s="98" t="s">
        <v>5</v>
      </c>
      <c r="AQ3" s="98" t="s">
        <v>6</v>
      </c>
      <c r="AR3" s="98" t="s">
        <v>7</v>
      </c>
      <c r="AS3" s="98" t="s">
        <v>8</v>
      </c>
      <c r="AU3" s="8"/>
    </row>
    <row r="4" spans="1:47" x14ac:dyDescent="0.35">
      <c r="A4" s="3" t="s">
        <v>439</v>
      </c>
      <c r="B4" s="120"/>
      <c r="C4" s="145" t="s">
        <v>9</v>
      </c>
      <c r="D4" s="145"/>
      <c r="E4" s="145"/>
      <c r="F4" s="145"/>
      <c r="G4" s="145"/>
      <c r="H4" s="139" t="s">
        <v>10</v>
      </c>
      <c r="I4" s="139"/>
      <c r="J4" s="139"/>
      <c r="K4" s="139"/>
      <c r="L4" s="140" t="s">
        <v>11</v>
      </c>
      <c r="M4" s="141"/>
      <c r="N4" s="141"/>
      <c r="O4" s="141"/>
      <c r="P4" s="141"/>
      <c r="Q4" s="141"/>
      <c r="R4" s="142"/>
      <c r="S4" s="123" t="s">
        <v>12</v>
      </c>
      <c r="T4" s="146" t="s">
        <v>13</v>
      </c>
      <c r="U4" s="146"/>
      <c r="V4" s="143" t="s">
        <v>14</v>
      </c>
      <c r="W4" s="143"/>
      <c r="X4" s="143"/>
      <c r="Y4" s="144" t="s">
        <v>15</v>
      </c>
      <c r="Z4" s="144"/>
      <c r="AA4" s="144"/>
      <c r="AB4" s="147" t="s">
        <v>16</v>
      </c>
      <c r="AC4" s="148"/>
      <c r="AD4" s="148"/>
      <c r="AE4" s="149"/>
      <c r="AF4" s="150" t="s">
        <v>17</v>
      </c>
      <c r="AG4" s="150"/>
      <c r="AH4" s="150"/>
      <c r="AI4" s="150"/>
      <c r="AJ4" s="124" t="s">
        <v>18</v>
      </c>
      <c r="AK4" s="139" t="s">
        <v>19</v>
      </c>
      <c r="AL4" s="139"/>
      <c r="AM4" s="139"/>
    </row>
    <row r="5" spans="1:47" outlineLevel="1" x14ac:dyDescent="0.35">
      <c r="A5" s="172" t="s">
        <v>9</v>
      </c>
      <c r="B5" s="120"/>
      <c r="C5" s="145" t="s">
        <v>9</v>
      </c>
      <c r="D5" s="145"/>
      <c r="E5" s="145"/>
      <c r="F5" s="145"/>
      <c r="G5" s="145"/>
      <c r="H5" s="121"/>
      <c r="I5" s="121"/>
      <c r="J5" s="121"/>
      <c r="K5" s="121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</row>
    <row r="6" spans="1:47" outlineLevel="1" x14ac:dyDescent="0.35">
      <c r="A6" s="172" t="s">
        <v>20</v>
      </c>
      <c r="B6" s="120"/>
      <c r="C6" s="122"/>
      <c r="D6" s="122"/>
      <c r="E6" s="122"/>
      <c r="F6" s="122"/>
      <c r="G6" s="122"/>
      <c r="H6" s="139" t="s">
        <v>10</v>
      </c>
      <c r="I6" s="139"/>
      <c r="J6" s="139"/>
      <c r="K6" s="139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</row>
    <row r="7" spans="1:47" outlineLevel="1" x14ac:dyDescent="0.35">
      <c r="A7" s="172" t="s">
        <v>21</v>
      </c>
      <c r="B7" s="120"/>
      <c r="C7" s="122"/>
      <c r="D7" s="122"/>
      <c r="E7" s="122"/>
      <c r="F7" s="122"/>
      <c r="G7" s="122"/>
      <c r="H7" s="122"/>
      <c r="I7" s="122"/>
      <c r="J7" s="122"/>
      <c r="K7" s="122"/>
      <c r="L7" s="140" t="s">
        <v>11</v>
      </c>
      <c r="M7" s="141"/>
      <c r="N7" s="141"/>
      <c r="O7" s="141"/>
      <c r="P7" s="141"/>
      <c r="Q7" s="141"/>
      <c r="R7" s="142"/>
      <c r="S7" s="121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</row>
    <row r="8" spans="1:47" outlineLevel="1" x14ac:dyDescent="0.35">
      <c r="A8" s="172" t="s">
        <v>22</v>
      </c>
      <c r="B8" s="120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 t="s">
        <v>12</v>
      </c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</row>
    <row r="9" spans="1:47" outlineLevel="1" x14ac:dyDescent="0.35">
      <c r="A9" s="172" t="s">
        <v>23</v>
      </c>
      <c r="B9" s="120"/>
      <c r="C9" s="122"/>
      <c r="D9" s="122"/>
      <c r="E9" s="122"/>
      <c r="F9" s="122"/>
      <c r="G9" s="122"/>
      <c r="H9" s="152" t="s">
        <v>10</v>
      </c>
      <c r="I9" s="153"/>
      <c r="J9" s="153"/>
      <c r="K9" s="153"/>
      <c r="L9" s="153"/>
      <c r="M9" s="153"/>
      <c r="N9" s="154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</row>
    <row r="10" spans="1:47" outlineLevel="1" x14ac:dyDescent="0.35">
      <c r="A10" s="172" t="s">
        <v>24</v>
      </c>
      <c r="B10" s="120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51" t="s">
        <v>11</v>
      </c>
      <c r="P10" s="151"/>
      <c r="Q10" s="151"/>
      <c r="R10" s="121"/>
      <c r="S10" s="121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</row>
    <row r="11" spans="1:47" outlineLevel="1" x14ac:dyDescent="0.35">
      <c r="A11" s="172" t="s">
        <v>25</v>
      </c>
      <c r="B11" s="120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51" t="s">
        <v>12</v>
      </c>
      <c r="S11" s="151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</row>
    <row r="12" spans="1:47" outlineLevel="1" x14ac:dyDescent="0.35">
      <c r="A12" s="172" t="s">
        <v>26</v>
      </c>
      <c r="B12" s="120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46" t="s">
        <v>13</v>
      </c>
      <c r="U12" s="146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</row>
    <row r="13" spans="1:47" outlineLevel="1" x14ac:dyDescent="0.35">
      <c r="A13" s="172" t="s">
        <v>27</v>
      </c>
      <c r="B13" s="120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43" t="s">
        <v>14</v>
      </c>
      <c r="W13" s="143"/>
      <c r="X13" s="143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</row>
    <row r="14" spans="1:47" outlineLevel="1" x14ac:dyDescent="0.35">
      <c r="A14" s="172" t="s">
        <v>15</v>
      </c>
      <c r="B14" s="120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44" t="s">
        <v>15</v>
      </c>
      <c r="Z14" s="144"/>
      <c r="AA14" s="144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</row>
    <row r="15" spans="1:47" outlineLevel="1" x14ac:dyDescent="0.35">
      <c r="A15" s="172" t="s">
        <v>28</v>
      </c>
      <c r="B15" s="120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50" t="s">
        <v>17</v>
      </c>
      <c r="AG15" s="150"/>
      <c r="AH15" s="150"/>
      <c r="AI15" s="150"/>
      <c r="AJ15" s="122"/>
      <c r="AK15" s="122"/>
      <c r="AL15" s="122"/>
      <c r="AM15" s="122"/>
    </row>
    <row r="16" spans="1:47" outlineLevel="1" x14ac:dyDescent="0.35">
      <c r="A16" s="172" t="s">
        <v>29</v>
      </c>
      <c r="B16" s="120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39" t="s">
        <v>19</v>
      </c>
      <c r="AL16" s="139"/>
      <c r="AM16" s="139"/>
    </row>
    <row r="17" spans="1:45" x14ac:dyDescent="0.3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Q17" s="15"/>
      <c r="AR17" s="13"/>
    </row>
    <row r="18" spans="1:45" collapsed="1" x14ac:dyDescent="0.35">
      <c r="A18" s="163" t="s">
        <v>30</v>
      </c>
      <c r="C18" s="11">
        <f>C19+C32+C35+C36+C39+C45+C46+C47</f>
        <v>0</v>
      </c>
      <c r="D18" s="11">
        <f t="shared" ref="D18:AM18" si="0">D19+D32+D35+D36+D39+D45+D46+D47</f>
        <v>0</v>
      </c>
      <c r="E18" s="11">
        <f t="shared" si="0"/>
        <v>0</v>
      </c>
      <c r="F18" s="11">
        <f t="shared" si="0"/>
        <v>0</v>
      </c>
      <c r="G18" s="11">
        <f t="shared" si="0"/>
        <v>0</v>
      </c>
      <c r="H18" s="11">
        <f t="shared" si="0"/>
        <v>0</v>
      </c>
      <c r="I18" s="11">
        <f t="shared" si="0"/>
        <v>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  <c r="N18" s="11">
        <f t="shared" si="0"/>
        <v>0</v>
      </c>
      <c r="O18" s="11">
        <f t="shared" si="0"/>
        <v>0</v>
      </c>
      <c r="P18" s="11">
        <f t="shared" si="0"/>
        <v>0</v>
      </c>
      <c r="Q18" s="11">
        <f t="shared" si="0"/>
        <v>0</v>
      </c>
      <c r="R18" s="11">
        <f t="shared" si="0"/>
        <v>0</v>
      </c>
      <c r="S18" s="11">
        <f t="shared" si="0"/>
        <v>0</v>
      </c>
      <c r="T18" s="11">
        <f t="shared" si="0"/>
        <v>0</v>
      </c>
      <c r="U18" s="11">
        <f t="shared" si="0"/>
        <v>0</v>
      </c>
      <c r="V18" s="11">
        <f t="shared" si="0"/>
        <v>0</v>
      </c>
      <c r="W18" s="11">
        <f t="shared" si="0"/>
        <v>0</v>
      </c>
      <c r="X18" s="11">
        <f t="shared" si="0"/>
        <v>0</v>
      </c>
      <c r="Y18" s="11">
        <f t="shared" si="0"/>
        <v>0</v>
      </c>
      <c r="Z18" s="11">
        <f t="shared" si="0"/>
        <v>0</v>
      </c>
      <c r="AA18" s="11">
        <f t="shared" si="0"/>
        <v>0</v>
      </c>
      <c r="AB18" s="11">
        <f t="shared" si="0"/>
        <v>0</v>
      </c>
      <c r="AC18" s="11">
        <f t="shared" si="0"/>
        <v>0</v>
      </c>
      <c r="AD18" s="11">
        <f t="shared" si="0"/>
        <v>0</v>
      </c>
      <c r="AE18" s="11">
        <f t="shared" si="0"/>
        <v>0</v>
      </c>
      <c r="AF18" s="11">
        <f t="shared" si="0"/>
        <v>0</v>
      </c>
      <c r="AG18" s="11">
        <f t="shared" si="0"/>
        <v>0</v>
      </c>
      <c r="AH18" s="11">
        <f t="shared" si="0"/>
        <v>0</v>
      </c>
      <c r="AI18" s="11">
        <f t="shared" si="0"/>
        <v>0</v>
      </c>
      <c r="AJ18" s="11">
        <f t="shared" si="0"/>
        <v>0</v>
      </c>
      <c r="AK18" s="11">
        <f t="shared" si="0"/>
        <v>0</v>
      </c>
      <c r="AL18" s="11">
        <f t="shared" si="0"/>
        <v>0</v>
      </c>
      <c r="AM18" s="11">
        <f t="shared" si="0"/>
        <v>0</v>
      </c>
      <c r="AP18">
        <f>SUM(C18:AM18)</f>
        <v>0</v>
      </c>
      <c r="AQ18" s="168">
        <f>850/7.45</f>
        <v>114.09395973154362</v>
      </c>
      <c r="AR18" s="13">
        <f>AP18*AQ18</f>
        <v>0</v>
      </c>
      <c r="AS18" s="10">
        <f>(AP18/135)/$AS$2</f>
        <v>0</v>
      </c>
    </row>
    <row r="19" spans="1:45" hidden="1" outlineLevel="1" collapsed="1" x14ac:dyDescent="0.35">
      <c r="A19" s="164" t="s">
        <v>31</v>
      </c>
      <c r="C19" s="20">
        <f>SUM(C20:C31)</f>
        <v>0</v>
      </c>
      <c r="D19" s="20">
        <f t="shared" ref="D19:AM19" si="1">SUM(D20:D31)</f>
        <v>0</v>
      </c>
      <c r="E19" s="20">
        <f t="shared" si="1"/>
        <v>0</v>
      </c>
      <c r="F19" s="20">
        <f t="shared" si="1"/>
        <v>0</v>
      </c>
      <c r="G19" s="20">
        <f t="shared" si="1"/>
        <v>0</v>
      </c>
      <c r="H19" s="20">
        <f t="shared" si="1"/>
        <v>0</v>
      </c>
      <c r="I19" s="20">
        <f t="shared" si="1"/>
        <v>0</v>
      </c>
      <c r="J19" s="20">
        <f t="shared" si="1"/>
        <v>0</v>
      </c>
      <c r="K19" s="20">
        <f t="shared" si="1"/>
        <v>0</v>
      </c>
      <c r="L19" s="20">
        <f t="shared" si="1"/>
        <v>0</v>
      </c>
      <c r="M19" s="20">
        <f t="shared" si="1"/>
        <v>0</v>
      </c>
      <c r="N19" s="20">
        <f t="shared" si="1"/>
        <v>0</v>
      </c>
      <c r="O19" s="20">
        <f t="shared" si="1"/>
        <v>0</v>
      </c>
      <c r="P19" s="20">
        <f t="shared" si="1"/>
        <v>0</v>
      </c>
      <c r="Q19" s="20">
        <f t="shared" si="1"/>
        <v>0</v>
      </c>
      <c r="R19" s="20">
        <f t="shared" si="1"/>
        <v>0</v>
      </c>
      <c r="S19" s="20">
        <f t="shared" si="1"/>
        <v>0</v>
      </c>
      <c r="T19" s="20">
        <f t="shared" si="1"/>
        <v>0</v>
      </c>
      <c r="U19" s="20">
        <f t="shared" si="1"/>
        <v>0</v>
      </c>
      <c r="V19" s="20">
        <f t="shared" si="1"/>
        <v>0</v>
      </c>
      <c r="W19" s="20">
        <f t="shared" si="1"/>
        <v>0</v>
      </c>
      <c r="X19" s="20">
        <f t="shared" si="1"/>
        <v>0</v>
      </c>
      <c r="Y19" s="20">
        <f t="shared" si="1"/>
        <v>0</v>
      </c>
      <c r="Z19" s="20">
        <f t="shared" si="1"/>
        <v>0</v>
      </c>
      <c r="AA19" s="20">
        <f t="shared" si="1"/>
        <v>0</v>
      </c>
      <c r="AB19" s="20">
        <f t="shared" si="1"/>
        <v>0</v>
      </c>
      <c r="AC19" s="20">
        <f t="shared" si="1"/>
        <v>0</v>
      </c>
      <c r="AD19" s="20">
        <f t="shared" si="1"/>
        <v>0</v>
      </c>
      <c r="AE19" s="20">
        <f t="shared" si="1"/>
        <v>0</v>
      </c>
      <c r="AF19" s="20">
        <f t="shared" si="1"/>
        <v>0</v>
      </c>
      <c r="AG19" s="20">
        <f t="shared" si="1"/>
        <v>0</v>
      </c>
      <c r="AH19" s="20">
        <f t="shared" si="1"/>
        <v>0</v>
      </c>
      <c r="AI19" s="20">
        <f t="shared" si="1"/>
        <v>0</v>
      </c>
      <c r="AJ19" s="20">
        <f t="shared" si="1"/>
        <v>0</v>
      </c>
      <c r="AK19" s="20">
        <f t="shared" si="1"/>
        <v>0</v>
      </c>
      <c r="AL19" s="20">
        <f t="shared" si="1"/>
        <v>0</v>
      </c>
      <c r="AM19" s="20">
        <f t="shared" si="1"/>
        <v>0</v>
      </c>
      <c r="AN19" s="6"/>
      <c r="AO19">
        <f>SUM(C19:AM19)</f>
        <v>0</v>
      </c>
      <c r="AQ19" s="15"/>
      <c r="AR19" s="13"/>
    </row>
    <row r="20" spans="1:45" hidden="1" outlineLevel="2" x14ac:dyDescent="0.35">
      <c r="A20" s="5" t="s">
        <v>32</v>
      </c>
      <c r="C20" s="14"/>
      <c r="D20" s="1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6"/>
      <c r="AQ20" s="15"/>
      <c r="AR20" s="13"/>
    </row>
    <row r="21" spans="1:45" hidden="1" outlineLevel="2" x14ac:dyDescent="0.35">
      <c r="A21" s="5" t="s">
        <v>33</v>
      </c>
      <c r="C21" s="14"/>
      <c r="D21" s="1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6"/>
      <c r="AQ21" s="15"/>
      <c r="AR21" s="13"/>
    </row>
    <row r="22" spans="1:45" hidden="1" outlineLevel="2" x14ac:dyDescent="0.35">
      <c r="A22" s="5" t="s">
        <v>34</v>
      </c>
      <c r="C22" s="14"/>
      <c r="D22" s="1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6"/>
      <c r="AQ22" s="15"/>
      <c r="AR22" s="13"/>
    </row>
    <row r="23" spans="1:45" hidden="1" outlineLevel="2" x14ac:dyDescent="0.35">
      <c r="A23" s="5" t="s">
        <v>35</v>
      </c>
      <c r="C23" s="14"/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6"/>
      <c r="AQ23" s="15"/>
      <c r="AR23" s="13"/>
    </row>
    <row r="24" spans="1:45" hidden="1" outlineLevel="2" x14ac:dyDescent="0.35">
      <c r="A24" s="5" t="s">
        <v>36</v>
      </c>
      <c r="C24" s="14"/>
      <c r="D24" s="1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6"/>
      <c r="AQ24" s="15"/>
      <c r="AR24" s="13"/>
    </row>
    <row r="25" spans="1:45" hidden="1" outlineLevel="2" x14ac:dyDescent="0.35">
      <c r="A25" s="5" t="s">
        <v>37</v>
      </c>
      <c r="C25" s="14"/>
      <c r="D25" s="1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6"/>
      <c r="AQ25" s="15"/>
      <c r="AR25" s="13"/>
    </row>
    <row r="26" spans="1:45" hidden="1" outlineLevel="2" x14ac:dyDescent="0.35">
      <c r="A26" s="5" t="s">
        <v>38</v>
      </c>
      <c r="C26" s="14"/>
      <c r="D26" s="1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6"/>
      <c r="AQ26" s="15"/>
      <c r="AR26" s="13"/>
    </row>
    <row r="27" spans="1:45" hidden="1" outlineLevel="2" x14ac:dyDescent="0.35">
      <c r="A27" s="5" t="s">
        <v>39</v>
      </c>
      <c r="C27" s="14"/>
      <c r="D27" s="1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6"/>
      <c r="AQ27" s="15"/>
      <c r="AR27" s="13"/>
    </row>
    <row r="28" spans="1:45" hidden="1" outlineLevel="2" x14ac:dyDescent="0.35">
      <c r="A28" s="5" t="s">
        <v>40</v>
      </c>
      <c r="C28" s="14"/>
      <c r="D28" s="1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6"/>
      <c r="AQ28" s="15"/>
      <c r="AR28" s="13"/>
    </row>
    <row r="29" spans="1:45" hidden="1" outlineLevel="2" x14ac:dyDescent="0.35">
      <c r="A29" s="5" t="s">
        <v>41</v>
      </c>
      <c r="C29" s="14"/>
      <c r="D29" s="1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6"/>
      <c r="AQ29" s="15"/>
      <c r="AR29" s="13"/>
    </row>
    <row r="30" spans="1:45" hidden="1" outlineLevel="2" x14ac:dyDescent="0.35">
      <c r="A30" s="5" t="s">
        <v>42</v>
      </c>
      <c r="C30" s="14"/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6"/>
      <c r="AQ30" s="15"/>
      <c r="AR30" s="13"/>
    </row>
    <row r="31" spans="1:45" hidden="1" outlineLevel="2" x14ac:dyDescent="0.35">
      <c r="A31" s="5" t="s">
        <v>43</v>
      </c>
      <c r="C31" s="14"/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6"/>
      <c r="AQ31" s="15"/>
      <c r="AR31" s="13"/>
    </row>
    <row r="32" spans="1:45" hidden="1" outlineLevel="1" collapsed="1" x14ac:dyDescent="0.35">
      <c r="A32" s="164" t="s">
        <v>44</v>
      </c>
      <c r="C32" s="20">
        <f>SUM(C33:C34)</f>
        <v>0</v>
      </c>
      <c r="D32" s="20">
        <f t="shared" ref="D32:AM32" si="2">SUM(D33:D34)</f>
        <v>0</v>
      </c>
      <c r="E32" s="20">
        <f t="shared" si="2"/>
        <v>0</v>
      </c>
      <c r="F32" s="20">
        <f t="shared" si="2"/>
        <v>0</v>
      </c>
      <c r="G32" s="20">
        <f t="shared" si="2"/>
        <v>0</v>
      </c>
      <c r="H32" s="20">
        <f t="shared" si="2"/>
        <v>0</v>
      </c>
      <c r="I32" s="20">
        <f t="shared" si="2"/>
        <v>0</v>
      </c>
      <c r="J32" s="20">
        <f t="shared" si="2"/>
        <v>0</v>
      </c>
      <c r="K32" s="20">
        <f t="shared" si="2"/>
        <v>0</v>
      </c>
      <c r="L32" s="20">
        <f t="shared" si="2"/>
        <v>0</v>
      </c>
      <c r="M32" s="20">
        <f t="shared" si="2"/>
        <v>0</v>
      </c>
      <c r="N32" s="20">
        <f t="shared" si="2"/>
        <v>0</v>
      </c>
      <c r="O32" s="20">
        <f t="shared" si="2"/>
        <v>0</v>
      </c>
      <c r="P32" s="20">
        <f t="shared" si="2"/>
        <v>0</v>
      </c>
      <c r="Q32" s="20">
        <f t="shared" si="2"/>
        <v>0</v>
      </c>
      <c r="R32" s="20">
        <f t="shared" si="2"/>
        <v>0</v>
      </c>
      <c r="S32" s="20">
        <f t="shared" si="2"/>
        <v>0</v>
      </c>
      <c r="T32" s="20">
        <f t="shared" si="2"/>
        <v>0</v>
      </c>
      <c r="U32" s="20">
        <f t="shared" si="2"/>
        <v>0</v>
      </c>
      <c r="V32" s="20">
        <f t="shared" si="2"/>
        <v>0</v>
      </c>
      <c r="W32" s="20">
        <f t="shared" si="2"/>
        <v>0</v>
      </c>
      <c r="X32" s="20">
        <f t="shared" si="2"/>
        <v>0</v>
      </c>
      <c r="Y32" s="20">
        <f t="shared" si="2"/>
        <v>0</v>
      </c>
      <c r="Z32" s="20">
        <f t="shared" si="2"/>
        <v>0</v>
      </c>
      <c r="AA32" s="20">
        <f t="shared" si="2"/>
        <v>0</v>
      </c>
      <c r="AB32" s="20">
        <f t="shared" si="2"/>
        <v>0</v>
      </c>
      <c r="AC32" s="20">
        <f t="shared" si="2"/>
        <v>0</v>
      </c>
      <c r="AD32" s="20">
        <f t="shared" si="2"/>
        <v>0</v>
      </c>
      <c r="AE32" s="20">
        <f t="shared" si="2"/>
        <v>0</v>
      </c>
      <c r="AF32" s="20">
        <f t="shared" si="2"/>
        <v>0</v>
      </c>
      <c r="AG32" s="20">
        <f t="shared" si="2"/>
        <v>0</v>
      </c>
      <c r="AH32" s="20">
        <f t="shared" si="2"/>
        <v>0</v>
      </c>
      <c r="AI32" s="20">
        <f t="shared" si="2"/>
        <v>0</v>
      </c>
      <c r="AJ32" s="20">
        <f t="shared" si="2"/>
        <v>0</v>
      </c>
      <c r="AK32" s="20">
        <f t="shared" si="2"/>
        <v>0</v>
      </c>
      <c r="AL32" s="20">
        <f t="shared" si="2"/>
        <v>0</v>
      </c>
      <c r="AM32" s="20">
        <f t="shared" si="2"/>
        <v>0</v>
      </c>
      <c r="AO32">
        <f>SUM(C32:AM32)</f>
        <v>0</v>
      </c>
      <c r="AQ32" s="15"/>
      <c r="AR32" s="13"/>
    </row>
    <row r="33" spans="1:44" hidden="1" outlineLevel="2" x14ac:dyDescent="0.35">
      <c r="A33" s="5" t="s">
        <v>45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Q33" s="15"/>
      <c r="AR33" s="13"/>
    </row>
    <row r="34" spans="1:44" hidden="1" outlineLevel="2" x14ac:dyDescent="0.35">
      <c r="A34" s="5" t="s">
        <v>46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Q34" s="15"/>
      <c r="AR34" s="13"/>
    </row>
    <row r="35" spans="1:44" hidden="1" outlineLevel="1" x14ac:dyDescent="0.35">
      <c r="A35" s="164" t="s">
        <v>47</v>
      </c>
      <c r="AO35">
        <f>SUM(C35:AM35)</f>
        <v>0</v>
      </c>
      <c r="AQ35" s="15"/>
      <c r="AR35" s="13"/>
    </row>
    <row r="36" spans="1:44" hidden="1" outlineLevel="1" collapsed="1" x14ac:dyDescent="0.35">
      <c r="A36" s="164" t="s">
        <v>48</v>
      </c>
      <c r="C36" s="20">
        <f t="shared" ref="C36:M36" si="3">SUM(C37:C38)</f>
        <v>0</v>
      </c>
      <c r="D36" s="20">
        <f t="shared" si="3"/>
        <v>0</v>
      </c>
      <c r="E36" s="20">
        <f t="shared" si="3"/>
        <v>0</v>
      </c>
      <c r="F36" s="20">
        <f t="shared" si="3"/>
        <v>0</v>
      </c>
      <c r="G36" s="20">
        <f t="shared" si="3"/>
        <v>0</v>
      </c>
      <c r="H36" s="20">
        <f t="shared" si="3"/>
        <v>0</v>
      </c>
      <c r="I36" s="20">
        <f t="shared" si="3"/>
        <v>0</v>
      </c>
      <c r="J36" s="20">
        <f t="shared" si="3"/>
        <v>0</v>
      </c>
      <c r="K36" s="20">
        <f t="shared" si="3"/>
        <v>0</v>
      </c>
      <c r="L36" s="20">
        <f t="shared" si="3"/>
        <v>0</v>
      </c>
      <c r="M36" s="20">
        <f t="shared" si="3"/>
        <v>0</v>
      </c>
      <c r="N36" s="20">
        <f t="shared" ref="N36:AM36" si="4">SUM(N37:N38)</f>
        <v>0</v>
      </c>
      <c r="O36" s="20">
        <f t="shared" si="4"/>
        <v>0</v>
      </c>
      <c r="P36" s="20">
        <f t="shared" si="4"/>
        <v>0</v>
      </c>
      <c r="Q36" s="20">
        <f t="shared" si="4"/>
        <v>0</v>
      </c>
      <c r="R36" s="20">
        <f t="shared" si="4"/>
        <v>0</v>
      </c>
      <c r="S36" s="20">
        <f t="shared" si="4"/>
        <v>0</v>
      </c>
      <c r="T36" s="20">
        <f t="shared" si="4"/>
        <v>0</v>
      </c>
      <c r="U36" s="20">
        <f t="shared" si="4"/>
        <v>0</v>
      </c>
      <c r="V36" s="20">
        <f t="shared" si="4"/>
        <v>0</v>
      </c>
      <c r="W36" s="20">
        <f t="shared" si="4"/>
        <v>0</v>
      </c>
      <c r="X36" s="20">
        <f t="shared" si="4"/>
        <v>0</v>
      </c>
      <c r="Y36" s="20">
        <f t="shared" si="4"/>
        <v>0</v>
      </c>
      <c r="Z36" s="20">
        <f t="shared" si="4"/>
        <v>0</v>
      </c>
      <c r="AA36" s="20">
        <f t="shared" si="4"/>
        <v>0</v>
      </c>
      <c r="AB36" s="20">
        <f t="shared" si="4"/>
        <v>0</v>
      </c>
      <c r="AC36" s="20">
        <f t="shared" si="4"/>
        <v>0</v>
      </c>
      <c r="AD36" s="20">
        <f t="shared" si="4"/>
        <v>0</v>
      </c>
      <c r="AE36" s="20">
        <f t="shared" si="4"/>
        <v>0</v>
      </c>
      <c r="AF36" s="20">
        <f t="shared" si="4"/>
        <v>0</v>
      </c>
      <c r="AG36" s="20">
        <f t="shared" si="4"/>
        <v>0</v>
      </c>
      <c r="AH36" s="20">
        <f t="shared" si="4"/>
        <v>0</v>
      </c>
      <c r="AI36" s="20">
        <f t="shared" si="4"/>
        <v>0</v>
      </c>
      <c r="AJ36" s="20">
        <f t="shared" si="4"/>
        <v>0</v>
      </c>
      <c r="AK36" s="20">
        <f t="shared" si="4"/>
        <v>0</v>
      </c>
      <c r="AL36" s="20">
        <f t="shared" si="4"/>
        <v>0</v>
      </c>
      <c r="AM36" s="20">
        <f t="shared" si="4"/>
        <v>0</v>
      </c>
      <c r="AO36">
        <f>SUM(C36:AM36)</f>
        <v>0</v>
      </c>
      <c r="AQ36" s="15"/>
      <c r="AR36" s="13"/>
    </row>
    <row r="37" spans="1:44" hidden="1" outlineLevel="2" x14ac:dyDescent="0.35">
      <c r="A37" s="5" t="s">
        <v>49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Q37" s="15"/>
      <c r="AR37" s="13"/>
    </row>
    <row r="38" spans="1:44" hidden="1" outlineLevel="2" x14ac:dyDescent="0.35">
      <c r="A38" s="5" t="s">
        <v>50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Q38" s="15"/>
      <c r="AR38" s="13"/>
    </row>
    <row r="39" spans="1:44" hidden="1" outlineLevel="1" collapsed="1" x14ac:dyDescent="0.35">
      <c r="A39" s="164" t="s">
        <v>51</v>
      </c>
      <c r="C39" s="20">
        <f>SUM(C40:C44)</f>
        <v>0</v>
      </c>
      <c r="D39" s="20">
        <f t="shared" ref="D39:AM39" si="5">SUM(D40:D44)</f>
        <v>0</v>
      </c>
      <c r="E39" s="20">
        <f t="shared" si="5"/>
        <v>0</v>
      </c>
      <c r="F39" s="20">
        <f t="shared" si="5"/>
        <v>0</v>
      </c>
      <c r="G39" s="20">
        <f t="shared" si="5"/>
        <v>0</v>
      </c>
      <c r="H39" s="20">
        <f t="shared" si="5"/>
        <v>0</v>
      </c>
      <c r="I39" s="20">
        <f t="shared" si="5"/>
        <v>0</v>
      </c>
      <c r="J39" s="20">
        <f t="shared" si="5"/>
        <v>0</v>
      </c>
      <c r="K39" s="20">
        <f t="shared" si="5"/>
        <v>0</v>
      </c>
      <c r="L39" s="20">
        <f t="shared" si="5"/>
        <v>0</v>
      </c>
      <c r="M39" s="20">
        <f t="shared" si="5"/>
        <v>0</v>
      </c>
      <c r="N39" s="20">
        <f t="shared" si="5"/>
        <v>0</v>
      </c>
      <c r="O39" s="20">
        <f t="shared" si="5"/>
        <v>0</v>
      </c>
      <c r="P39" s="20">
        <f t="shared" si="5"/>
        <v>0</v>
      </c>
      <c r="Q39" s="20">
        <f t="shared" si="5"/>
        <v>0</v>
      </c>
      <c r="R39" s="20">
        <f t="shared" si="5"/>
        <v>0</v>
      </c>
      <c r="S39" s="20">
        <f t="shared" si="5"/>
        <v>0</v>
      </c>
      <c r="T39" s="20">
        <f t="shared" si="5"/>
        <v>0</v>
      </c>
      <c r="U39" s="20">
        <f t="shared" si="5"/>
        <v>0</v>
      </c>
      <c r="V39" s="20">
        <f t="shared" si="5"/>
        <v>0</v>
      </c>
      <c r="W39" s="20">
        <f t="shared" si="5"/>
        <v>0</v>
      </c>
      <c r="X39" s="20">
        <f t="shared" si="5"/>
        <v>0</v>
      </c>
      <c r="Y39" s="20">
        <f t="shared" si="5"/>
        <v>0</v>
      </c>
      <c r="Z39" s="20">
        <f t="shared" si="5"/>
        <v>0</v>
      </c>
      <c r="AA39" s="20">
        <f t="shared" si="5"/>
        <v>0</v>
      </c>
      <c r="AB39" s="20">
        <f t="shared" si="5"/>
        <v>0</v>
      </c>
      <c r="AC39" s="20">
        <f t="shared" si="5"/>
        <v>0</v>
      </c>
      <c r="AD39" s="20">
        <f t="shared" si="5"/>
        <v>0</v>
      </c>
      <c r="AE39" s="20">
        <f t="shared" si="5"/>
        <v>0</v>
      </c>
      <c r="AF39" s="20">
        <f t="shared" si="5"/>
        <v>0</v>
      </c>
      <c r="AG39" s="20">
        <f t="shared" si="5"/>
        <v>0</v>
      </c>
      <c r="AH39" s="20">
        <f t="shared" si="5"/>
        <v>0</v>
      </c>
      <c r="AI39" s="20">
        <f t="shared" si="5"/>
        <v>0</v>
      </c>
      <c r="AJ39" s="20">
        <f t="shared" si="5"/>
        <v>0</v>
      </c>
      <c r="AK39" s="20">
        <f t="shared" si="5"/>
        <v>0</v>
      </c>
      <c r="AL39" s="20">
        <f t="shared" si="5"/>
        <v>0</v>
      </c>
      <c r="AM39" s="20">
        <f t="shared" si="5"/>
        <v>0</v>
      </c>
      <c r="AO39">
        <f>SUM(C39:AM39)</f>
        <v>0</v>
      </c>
      <c r="AQ39" s="15"/>
      <c r="AR39" s="13"/>
    </row>
    <row r="40" spans="1:44" hidden="1" outlineLevel="2" x14ac:dyDescent="0.35">
      <c r="A40" s="5" t="s">
        <v>52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Q40" s="15"/>
      <c r="AR40" s="13"/>
    </row>
    <row r="41" spans="1:44" hidden="1" outlineLevel="2" x14ac:dyDescent="0.35">
      <c r="A41" s="5" t="s">
        <v>53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Q41" s="15"/>
      <c r="AR41" s="13"/>
    </row>
    <row r="42" spans="1:44" hidden="1" outlineLevel="2" x14ac:dyDescent="0.35">
      <c r="A42" s="5" t="s">
        <v>54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Q42" s="15"/>
      <c r="AR42" s="13"/>
    </row>
    <row r="43" spans="1:44" hidden="1" outlineLevel="2" x14ac:dyDescent="0.35">
      <c r="A43" s="5" t="s">
        <v>55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Q43" s="15"/>
      <c r="AR43" s="13"/>
    </row>
    <row r="44" spans="1:44" hidden="1" outlineLevel="2" x14ac:dyDescent="0.35">
      <c r="A44" s="5" t="s">
        <v>56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Q44" s="15"/>
      <c r="AR44" s="13"/>
    </row>
    <row r="45" spans="1:44" hidden="1" outlineLevel="1" x14ac:dyDescent="0.35">
      <c r="A45" s="164" t="s">
        <v>57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1"/>
      <c r="AM45" s="160"/>
      <c r="AO45">
        <f>SUM(C45:AM45)</f>
        <v>0</v>
      </c>
      <c r="AQ45" s="15"/>
      <c r="AR45" s="13"/>
    </row>
    <row r="46" spans="1:44" hidden="1" outlineLevel="1" x14ac:dyDescent="0.35">
      <c r="A46" s="164" t="s">
        <v>58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1"/>
      <c r="AL46" s="161"/>
      <c r="AM46" s="160"/>
      <c r="AO46">
        <f>SUM(C46:AM46)</f>
        <v>0</v>
      </c>
      <c r="AQ46" s="15"/>
      <c r="AR46" s="13"/>
    </row>
    <row r="47" spans="1:44" hidden="1" outlineLevel="1" x14ac:dyDescent="0.35">
      <c r="A47" s="164" t="s">
        <v>59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2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O47">
        <f>SUM(C47:AM47)</f>
        <v>0</v>
      </c>
      <c r="AQ47" s="15"/>
      <c r="AR47" s="13"/>
    </row>
    <row r="49" spans="1:45" collapsed="1" x14ac:dyDescent="0.35">
      <c r="A49" s="163" t="s">
        <v>60</v>
      </c>
      <c r="C49" s="6">
        <f>C50+C56+C58+C62+C69+C75+C83</f>
        <v>0</v>
      </c>
      <c r="D49" s="6">
        <f t="shared" ref="D49:AM49" si="6">D50+D56+D58+D62+D69+D75+D83</f>
        <v>0</v>
      </c>
      <c r="E49" s="6">
        <f t="shared" si="6"/>
        <v>0</v>
      </c>
      <c r="F49" s="6">
        <f t="shared" si="6"/>
        <v>0</v>
      </c>
      <c r="G49" s="6">
        <f t="shared" si="6"/>
        <v>0</v>
      </c>
      <c r="H49" s="6">
        <f t="shared" si="6"/>
        <v>0</v>
      </c>
      <c r="I49" s="6">
        <f t="shared" si="6"/>
        <v>0</v>
      </c>
      <c r="J49" s="6">
        <f t="shared" si="6"/>
        <v>0</v>
      </c>
      <c r="K49" s="6">
        <f t="shared" si="6"/>
        <v>0</v>
      </c>
      <c r="L49" s="6">
        <f t="shared" si="6"/>
        <v>0</v>
      </c>
      <c r="M49" s="6">
        <f t="shared" si="6"/>
        <v>0</v>
      </c>
      <c r="N49" s="6">
        <f t="shared" si="6"/>
        <v>0</v>
      </c>
      <c r="O49" s="6">
        <f t="shared" si="6"/>
        <v>0</v>
      </c>
      <c r="P49" s="6">
        <f t="shared" si="6"/>
        <v>0</v>
      </c>
      <c r="Q49" s="6">
        <f t="shared" si="6"/>
        <v>0</v>
      </c>
      <c r="R49" s="6">
        <f t="shared" si="6"/>
        <v>0</v>
      </c>
      <c r="S49" s="6">
        <f t="shared" si="6"/>
        <v>0</v>
      </c>
      <c r="T49" s="6">
        <f t="shared" si="6"/>
        <v>0</v>
      </c>
      <c r="U49" s="6">
        <f t="shared" si="6"/>
        <v>0</v>
      </c>
      <c r="V49" s="6">
        <f t="shared" si="6"/>
        <v>0</v>
      </c>
      <c r="W49" s="6">
        <f t="shared" si="6"/>
        <v>0</v>
      </c>
      <c r="X49" s="6">
        <f t="shared" si="6"/>
        <v>0</v>
      </c>
      <c r="Y49" s="6">
        <f t="shared" si="6"/>
        <v>0</v>
      </c>
      <c r="Z49" s="6">
        <f t="shared" si="6"/>
        <v>0</v>
      </c>
      <c r="AA49" s="6">
        <f t="shared" si="6"/>
        <v>0</v>
      </c>
      <c r="AB49" s="6">
        <f t="shared" si="6"/>
        <v>0</v>
      </c>
      <c r="AC49" s="6">
        <f t="shared" si="6"/>
        <v>0</v>
      </c>
      <c r="AD49" s="6">
        <f t="shared" si="6"/>
        <v>0</v>
      </c>
      <c r="AE49" s="6">
        <f t="shared" si="6"/>
        <v>0</v>
      </c>
      <c r="AF49" s="6">
        <f t="shared" si="6"/>
        <v>0</v>
      </c>
      <c r="AG49" s="6">
        <f t="shared" si="6"/>
        <v>0</v>
      </c>
      <c r="AH49" s="6">
        <f t="shared" si="6"/>
        <v>0</v>
      </c>
      <c r="AI49" s="6">
        <f t="shared" si="6"/>
        <v>0</v>
      </c>
      <c r="AJ49" s="6">
        <f t="shared" si="6"/>
        <v>0</v>
      </c>
      <c r="AK49" s="6">
        <f t="shared" si="6"/>
        <v>0</v>
      </c>
      <c r="AL49" s="6">
        <f t="shared" si="6"/>
        <v>0</v>
      </c>
      <c r="AM49" s="6">
        <f t="shared" si="6"/>
        <v>0</v>
      </c>
      <c r="AP49">
        <f>SUM(C49:AM49)</f>
        <v>0</v>
      </c>
      <c r="AQ49" s="168">
        <f>825/7.45</f>
        <v>110.73825503355704</v>
      </c>
      <c r="AR49" s="13">
        <f>AP49*AQ49</f>
        <v>0</v>
      </c>
      <c r="AS49" s="10">
        <f>(AP49/135)/$AS$2</f>
        <v>0</v>
      </c>
    </row>
    <row r="50" spans="1:45" hidden="1" outlineLevel="1" collapsed="1" x14ac:dyDescent="0.35">
      <c r="A50" s="164" t="s">
        <v>31</v>
      </c>
      <c r="C50" s="20">
        <f t="shared" ref="C50:AM50" si="7">SUM(C51:C55)</f>
        <v>0</v>
      </c>
      <c r="D50" s="20">
        <f t="shared" si="7"/>
        <v>0</v>
      </c>
      <c r="E50" s="20">
        <f t="shared" si="7"/>
        <v>0</v>
      </c>
      <c r="F50" s="20">
        <f t="shared" si="7"/>
        <v>0</v>
      </c>
      <c r="G50" s="20">
        <f t="shared" si="7"/>
        <v>0</v>
      </c>
      <c r="H50" s="20">
        <f t="shared" si="7"/>
        <v>0</v>
      </c>
      <c r="I50" s="20">
        <f t="shared" si="7"/>
        <v>0</v>
      </c>
      <c r="J50" s="20">
        <f t="shared" si="7"/>
        <v>0</v>
      </c>
      <c r="K50" s="20">
        <f t="shared" si="7"/>
        <v>0</v>
      </c>
      <c r="L50" s="20">
        <f t="shared" si="7"/>
        <v>0</v>
      </c>
      <c r="M50" s="20">
        <f t="shared" si="7"/>
        <v>0</v>
      </c>
      <c r="N50" s="20">
        <f t="shared" si="7"/>
        <v>0</v>
      </c>
      <c r="O50" s="20">
        <f t="shared" si="7"/>
        <v>0</v>
      </c>
      <c r="P50" s="20">
        <f t="shared" si="7"/>
        <v>0</v>
      </c>
      <c r="Q50" s="20">
        <f t="shared" si="7"/>
        <v>0</v>
      </c>
      <c r="R50" s="20">
        <f t="shared" si="7"/>
        <v>0</v>
      </c>
      <c r="S50" s="20">
        <f t="shared" si="7"/>
        <v>0</v>
      </c>
      <c r="T50" s="20">
        <f t="shared" si="7"/>
        <v>0</v>
      </c>
      <c r="U50" s="20">
        <f t="shared" si="7"/>
        <v>0</v>
      </c>
      <c r="V50" s="20">
        <f t="shared" si="7"/>
        <v>0</v>
      </c>
      <c r="W50" s="20">
        <f t="shared" si="7"/>
        <v>0</v>
      </c>
      <c r="X50" s="20">
        <f t="shared" si="7"/>
        <v>0</v>
      </c>
      <c r="Y50" s="20">
        <f t="shared" si="7"/>
        <v>0</v>
      </c>
      <c r="Z50" s="20">
        <f t="shared" si="7"/>
        <v>0</v>
      </c>
      <c r="AA50" s="20">
        <f t="shared" si="7"/>
        <v>0</v>
      </c>
      <c r="AB50" s="20">
        <f t="shared" si="7"/>
        <v>0</v>
      </c>
      <c r="AC50" s="20">
        <f t="shared" si="7"/>
        <v>0</v>
      </c>
      <c r="AD50" s="20">
        <f t="shared" si="7"/>
        <v>0</v>
      </c>
      <c r="AE50" s="20">
        <f t="shared" si="7"/>
        <v>0</v>
      </c>
      <c r="AF50" s="20">
        <f t="shared" si="7"/>
        <v>0</v>
      </c>
      <c r="AG50" s="20">
        <f t="shared" si="7"/>
        <v>0</v>
      </c>
      <c r="AH50" s="20">
        <f t="shared" si="7"/>
        <v>0</v>
      </c>
      <c r="AI50" s="20">
        <f t="shared" si="7"/>
        <v>0</v>
      </c>
      <c r="AJ50" s="20">
        <f t="shared" si="7"/>
        <v>0</v>
      </c>
      <c r="AK50" s="20">
        <f t="shared" si="7"/>
        <v>0</v>
      </c>
      <c r="AL50" s="20">
        <f t="shared" si="7"/>
        <v>0</v>
      </c>
      <c r="AM50" s="20">
        <f t="shared" si="7"/>
        <v>0</v>
      </c>
      <c r="AN50" s="6"/>
      <c r="AO50">
        <f>SUM(C50:AM50)</f>
        <v>0</v>
      </c>
      <c r="AQ50" s="15"/>
      <c r="AR50" s="13"/>
    </row>
    <row r="51" spans="1:45" hidden="1" outlineLevel="2" x14ac:dyDescent="0.35">
      <c r="A51" s="5" t="s">
        <v>32</v>
      </c>
      <c r="C51" s="14"/>
      <c r="D51" s="1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6"/>
      <c r="AQ51" s="15"/>
      <c r="AR51" s="13"/>
    </row>
    <row r="52" spans="1:45" hidden="1" outlineLevel="2" x14ac:dyDescent="0.35">
      <c r="A52" s="5" t="s">
        <v>36</v>
      </c>
      <c r="C52" s="14"/>
      <c r="D52" s="1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6"/>
      <c r="AQ52" s="15"/>
      <c r="AR52" s="13"/>
    </row>
    <row r="53" spans="1:45" hidden="1" outlineLevel="2" x14ac:dyDescent="0.35">
      <c r="A53" s="5" t="s">
        <v>37</v>
      </c>
      <c r="C53" s="14"/>
      <c r="D53" s="1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6"/>
      <c r="AQ53" s="15"/>
      <c r="AR53" s="13"/>
    </row>
    <row r="54" spans="1:45" hidden="1" outlineLevel="2" x14ac:dyDescent="0.35">
      <c r="A54" s="5" t="s">
        <v>38</v>
      </c>
      <c r="C54" s="14"/>
      <c r="D54" s="14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6"/>
      <c r="AQ54" s="15"/>
      <c r="AR54" s="13"/>
    </row>
    <row r="55" spans="1:45" hidden="1" outlineLevel="2" x14ac:dyDescent="0.35">
      <c r="A55" s="5" t="s">
        <v>42</v>
      </c>
      <c r="C55" s="14"/>
      <c r="D55" s="1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6"/>
      <c r="AQ55" s="15"/>
      <c r="AR55" s="13"/>
    </row>
    <row r="56" spans="1:45" hidden="1" outlineLevel="1" collapsed="1" x14ac:dyDescent="0.35">
      <c r="A56" s="164" t="s">
        <v>44</v>
      </c>
      <c r="C56" s="20">
        <f t="shared" ref="C56:AM56" si="8">SUM(C57:C57)</f>
        <v>0</v>
      </c>
      <c r="D56" s="20">
        <f t="shared" si="8"/>
        <v>0</v>
      </c>
      <c r="E56" s="20">
        <f t="shared" si="8"/>
        <v>0</v>
      </c>
      <c r="F56" s="20">
        <f t="shared" si="8"/>
        <v>0</v>
      </c>
      <c r="G56" s="20">
        <f t="shared" si="8"/>
        <v>0</v>
      </c>
      <c r="H56" s="20">
        <f t="shared" si="8"/>
        <v>0</v>
      </c>
      <c r="I56" s="20">
        <f t="shared" si="8"/>
        <v>0</v>
      </c>
      <c r="J56" s="20">
        <f t="shared" si="8"/>
        <v>0</v>
      </c>
      <c r="K56" s="20">
        <f t="shared" si="8"/>
        <v>0</v>
      </c>
      <c r="L56" s="20">
        <f t="shared" si="8"/>
        <v>0</v>
      </c>
      <c r="M56" s="20">
        <f t="shared" si="8"/>
        <v>0</v>
      </c>
      <c r="N56" s="20">
        <f t="shared" si="8"/>
        <v>0</v>
      </c>
      <c r="O56" s="20">
        <f t="shared" si="8"/>
        <v>0</v>
      </c>
      <c r="P56" s="20">
        <f t="shared" si="8"/>
        <v>0</v>
      </c>
      <c r="Q56" s="20">
        <f t="shared" si="8"/>
        <v>0</v>
      </c>
      <c r="R56" s="20">
        <f t="shared" si="8"/>
        <v>0</v>
      </c>
      <c r="S56" s="20">
        <f t="shared" si="8"/>
        <v>0</v>
      </c>
      <c r="T56" s="20">
        <f t="shared" si="8"/>
        <v>0</v>
      </c>
      <c r="U56" s="20">
        <f t="shared" si="8"/>
        <v>0</v>
      </c>
      <c r="V56" s="20">
        <f t="shared" si="8"/>
        <v>0</v>
      </c>
      <c r="W56" s="20">
        <f t="shared" si="8"/>
        <v>0</v>
      </c>
      <c r="X56" s="20">
        <f t="shared" si="8"/>
        <v>0</v>
      </c>
      <c r="Y56" s="20">
        <f t="shared" si="8"/>
        <v>0</v>
      </c>
      <c r="Z56" s="20">
        <f t="shared" si="8"/>
        <v>0</v>
      </c>
      <c r="AA56" s="20">
        <f t="shared" si="8"/>
        <v>0</v>
      </c>
      <c r="AB56" s="20">
        <f t="shared" si="8"/>
        <v>0</v>
      </c>
      <c r="AC56" s="20">
        <f t="shared" si="8"/>
        <v>0</v>
      </c>
      <c r="AD56" s="20">
        <f t="shared" si="8"/>
        <v>0</v>
      </c>
      <c r="AE56" s="20">
        <f t="shared" si="8"/>
        <v>0</v>
      </c>
      <c r="AF56" s="20">
        <f t="shared" si="8"/>
        <v>0</v>
      </c>
      <c r="AG56" s="20">
        <f t="shared" si="8"/>
        <v>0</v>
      </c>
      <c r="AH56" s="20">
        <f t="shared" si="8"/>
        <v>0</v>
      </c>
      <c r="AI56" s="20">
        <f t="shared" si="8"/>
        <v>0</v>
      </c>
      <c r="AJ56" s="20">
        <f t="shared" si="8"/>
        <v>0</v>
      </c>
      <c r="AK56" s="20">
        <f t="shared" si="8"/>
        <v>0</v>
      </c>
      <c r="AL56" s="20">
        <f t="shared" si="8"/>
        <v>0</v>
      </c>
      <c r="AM56" s="20">
        <f t="shared" si="8"/>
        <v>0</v>
      </c>
      <c r="AO56">
        <f>SUM(C56:AM56)</f>
        <v>0</v>
      </c>
      <c r="AQ56" s="15"/>
      <c r="AR56" s="13"/>
    </row>
    <row r="57" spans="1:45" hidden="1" outlineLevel="2" x14ac:dyDescent="0.35">
      <c r="A57" s="5" t="s">
        <v>46</v>
      </c>
      <c r="C57" s="14">
        <f>C34</f>
        <v>0</v>
      </c>
      <c r="D57" s="14">
        <f t="shared" ref="D57:AM57" si="9">D34</f>
        <v>0</v>
      </c>
      <c r="E57" s="14">
        <f t="shared" si="9"/>
        <v>0</v>
      </c>
      <c r="F57" s="14">
        <f t="shared" si="9"/>
        <v>0</v>
      </c>
      <c r="G57" s="14">
        <f t="shared" si="9"/>
        <v>0</v>
      </c>
      <c r="H57" s="14">
        <f t="shared" si="9"/>
        <v>0</v>
      </c>
      <c r="I57" s="14">
        <f t="shared" si="9"/>
        <v>0</v>
      </c>
      <c r="J57" s="14">
        <f t="shared" si="9"/>
        <v>0</v>
      </c>
      <c r="K57" s="14">
        <f t="shared" si="9"/>
        <v>0</v>
      </c>
      <c r="L57" s="14">
        <f t="shared" si="9"/>
        <v>0</v>
      </c>
      <c r="M57" s="14">
        <f t="shared" si="9"/>
        <v>0</v>
      </c>
      <c r="N57" s="14">
        <f t="shared" si="9"/>
        <v>0</v>
      </c>
      <c r="O57" s="14">
        <f t="shared" si="9"/>
        <v>0</v>
      </c>
      <c r="P57" s="14">
        <f t="shared" si="9"/>
        <v>0</v>
      </c>
      <c r="Q57" s="14">
        <f t="shared" si="9"/>
        <v>0</v>
      </c>
      <c r="R57" s="14">
        <f t="shared" si="9"/>
        <v>0</v>
      </c>
      <c r="S57" s="14">
        <f t="shared" si="9"/>
        <v>0</v>
      </c>
      <c r="T57" s="14">
        <f t="shared" si="9"/>
        <v>0</v>
      </c>
      <c r="U57" s="14">
        <f t="shared" si="9"/>
        <v>0</v>
      </c>
      <c r="V57" s="14">
        <f t="shared" si="9"/>
        <v>0</v>
      </c>
      <c r="W57" s="14">
        <f t="shared" si="9"/>
        <v>0</v>
      </c>
      <c r="X57" s="14">
        <f t="shared" si="9"/>
        <v>0</v>
      </c>
      <c r="Y57" s="14">
        <f t="shared" si="9"/>
        <v>0</v>
      </c>
      <c r="Z57" s="14">
        <f t="shared" si="9"/>
        <v>0</v>
      </c>
      <c r="AA57" s="14">
        <f t="shared" si="9"/>
        <v>0</v>
      </c>
      <c r="AB57" s="14">
        <f t="shared" si="9"/>
        <v>0</v>
      </c>
      <c r="AC57" s="14">
        <f t="shared" si="9"/>
        <v>0</v>
      </c>
      <c r="AD57" s="14">
        <f t="shared" si="9"/>
        <v>0</v>
      </c>
      <c r="AE57" s="14">
        <f t="shared" si="9"/>
        <v>0</v>
      </c>
      <c r="AF57" s="14">
        <f t="shared" si="9"/>
        <v>0</v>
      </c>
      <c r="AG57" s="14">
        <f t="shared" si="9"/>
        <v>0</v>
      </c>
      <c r="AH57" s="14">
        <f t="shared" si="9"/>
        <v>0</v>
      </c>
      <c r="AI57" s="14">
        <f t="shared" si="9"/>
        <v>0</v>
      </c>
      <c r="AJ57" s="14">
        <f t="shared" si="9"/>
        <v>0</v>
      </c>
      <c r="AK57" s="14">
        <f t="shared" si="9"/>
        <v>0</v>
      </c>
      <c r="AL57" s="14">
        <f t="shared" si="9"/>
        <v>0</v>
      </c>
      <c r="AM57" s="14">
        <f t="shared" si="9"/>
        <v>0</v>
      </c>
      <c r="AQ57" s="15"/>
      <c r="AR57" s="13"/>
    </row>
    <row r="58" spans="1:45" hidden="1" outlineLevel="1" collapsed="1" x14ac:dyDescent="0.35">
      <c r="A58" s="164" t="s">
        <v>51</v>
      </c>
      <c r="C58" s="20">
        <f t="shared" ref="C58:AM58" si="10">SUM(C59:C61)</f>
        <v>0</v>
      </c>
      <c r="D58" s="20">
        <f t="shared" si="10"/>
        <v>0</v>
      </c>
      <c r="E58" s="20">
        <f t="shared" si="10"/>
        <v>0</v>
      </c>
      <c r="F58" s="20">
        <f t="shared" si="10"/>
        <v>0</v>
      </c>
      <c r="G58" s="20">
        <f t="shared" si="10"/>
        <v>0</v>
      </c>
      <c r="H58" s="20">
        <f t="shared" si="10"/>
        <v>0</v>
      </c>
      <c r="I58" s="20">
        <f t="shared" si="10"/>
        <v>0</v>
      </c>
      <c r="J58" s="20">
        <f t="shared" si="10"/>
        <v>0</v>
      </c>
      <c r="K58" s="20">
        <f t="shared" si="10"/>
        <v>0</v>
      </c>
      <c r="L58" s="20">
        <f t="shared" si="10"/>
        <v>0</v>
      </c>
      <c r="M58" s="20">
        <f t="shared" si="10"/>
        <v>0</v>
      </c>
      <c r="N58" s="20">
        <f t="shared" si="10"/>
        <v>0</v>
      </c>
      <c r="O58" s="20">
        <f t="shared" si="10"/>
        <v>0</v>
      </c>
      <c r="P58" s="20">
        <f t="shared" si="10"/>
        <v>0</v>
      </c>
      <c r="Q58" s="20">
        <f t="shared" si="10"/>
        <v>0</v>
      </c>
      <c r="R58" s="20">
        <f t="shared" si="10"/>
        <v>0</v>
      </c>
      <c r="S58" s="20">
        <f t="shared" si="10"/>
        <v>0</v>
      </c>
      <c r="T58" s="20">
        <f t="shared" si="10"/>
        <v>0</v>
      </c>
      <c r="U58" s="20">
        <f t="shared" si="10"/>
        <v>0</v>
      </c>
      <c r="V58" s="20">
        <f t="shared" si="10"/>
        <v>0</v>
      </c>
      <c r="W58" s="20">
        <f t="shared" si="10"/>
        <v>0</v>
      </c>
      <c r="X58" s="20">
        <f t="shared" si="10"/>
        <v>0</v>
      </c>
      <c r="Y58" s="20">
        <f t="shared" si="10"/>
        <v>0</v>
      </c>
      <c r="Z58" s="20">
        <f t="shared" si="10"/>
        <v>0</v>
      </c>
      <c r="AA58" s="20">
        <f t="shared" si="10"/>
        <v>0</v>
      </c>
      <c r="AB58" s="20">
        <f t="shared" si="10"/>
        <v>0</v>
      </c>
      <c r="AC58" s="20">
        <f t="shared" si="10"/>
        <v>0</v>
      </c>
      <c r="AD58" s="20">
        <f t="shared" si="10"/>
        <v>0</v>
      </c>
      <c r="AE58" s="20">
        <f t="shared" si="10"/>
        <v>0</v>
      </c>
      <c r="AF58" s="20">
        <f t="shared" si="10"/>
        <v>0</v>
      </c>
      <c r="AG58" s="20">
        <f t="shared" si="10"/>
        <v>0</v>
      </c>
      <c r="AH58" s="20">
        <f t="shared" si="10"/>
        <v>0</v>
      </c>
      <c r="AI58" s="20">
        <f t="shared" si="10"/>
        <v>0</v>
      </c>
      <c r="AJ58" s="20">
        <f t="shared" si="10"/>
        <v>0</v>
      </c>
      <c r="AK58" s="20">
        <f t="shared" si="10"/>
        <v>0</v>
      </c>
      <c r="AL58" s="20">
        <f t="shared" si="10"/>
        <v>0</v>
      </c>
      <c r="AM58" s="20">
        <f t="shared" si="10"/>
        <v>0</v>
      </c>
      <c r="AO58">
        <f>SUM(C58:AM58)</f>
        <v>0</v>
      </c>
      <c r="AQ58" s="15"/>
      <c r="AR58" s="13"/>
    </row>
    <row r="59" spans="1:45" hidden="1" outlineLevel="2" x14ac:dyDescent="0.35">
      <c r="A59" s="5" t="s">
        <v>52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Q59" s="15"/>
      <c r="AR59" s="13"/>
    </row>
    <row r="60" spans="1:45" hidden="1" outlineLevel="2" x14ac:dyDescent="0.35">
      <c r="A60" s="5" t="s">
        <v>53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Q60" s="15"/>
      <c r="AR60" s="13"/>
    </row>
    <row r="61" spans="1:45" hidden="1" outlineLevel="2" x14ac:dyDescent="0.35">
      <c r="A61" s="5" t="s">
        <v>55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Q61" s="15"/>
      <c r="AR61" s="13"/>
    </row>
    <row r="62" spans="1:45" hidden="1" outlineLevel="1" collapsed="1" x14ac:dyDescent="0.35">
      <c r="A62" s="165" t="s">
        <v>61</v>
      </c>
      <c r="C62">
        <f>SUM(C63:C68)</f>
        <v>0</v>
      </c>
      <c r="D62">
        <f t="shared" ref="D62:AM62" si="11">SUM(D63:D68)</f>
        <v>0</v>
      </c>
      <c r="E62">
        <f t="shared" si="11"/>
        <v>0</v>
      </c>
      <c r="F62">
        <f t="shared" si="11"/>
        <v>0</v>
      </c>
      <c r="G62">
        <f t="shared" si="11"/>
        <v>0</v>
      </c>
      <c r="H62">
        <f t="shared" si="11"/>
        <v>0</v>
      </c>
      <c r="I62">
        <f t="shared" si="11"/>
        <v>0</v>
      </c>
      <c r="J62">
        <f t="shared" si="11"/>
        <v>0</v>
      </c>
      <c r="K62">
        <f t="shared" si="11"/>
        <v>0</v>
      </c>
      <c r="L62">
        <f t="shared" si="11"/>
        <v>0</v>
      </c>
      <c r="M62">
        <f t="shared" si="11"/>
        <v>0</v>
      </c>
      <c r="N62">
        <f t="shared" si="11"/>
        <v>0</v>
      </c>
      <c r="O62">
        <f t="shared" si="11"/>
        <v>0</v>
      </c>
      <c r="P62">
        <f t="shared" si="11"/>
        <v>0</v>
      </c>
      <c r="Q62">
        <f t="shared" si="11"/>
        <v>0</v>
      </c>
      <c r="R62">
        <f t="shared" si="11"/>
        <v>0</v>
      </c>
      <c r="S62">
        <f t="shared" si="11"/>
        <v>0</v>
      </c>
      <c r="T62">
        <f t="shared" si="11"/>
        <v>0</v>
      </c>
      <c r="U62">
        <f t="shared" si="11"/>
        <v>0</v>
      </c>
      <c r="V62">
        <f t="shared" si="11"/>
        <v>0</v>
      </c>
      <c r="W62">
        <f t="shared" si="11"/>
        <v>0</v>
      </c>
      <c r="X62">
        <f t="shared" si="11"/>
        <v>0</v>
      </c>
      <c r="Y62">
        <f t="shared" si="11"/>
        <v>0</v>
      </c>
      <c r="Z62">
        <f t="shared" si="11"/>
        <v>0</v>
      </c>
      <c r="AA62">
        <f t="shared" si="11"/>
        <v>0</v>
      </c>
      <c r="AB62">
        <f t="shared" si="11"/>
        <v>0</v>
      </c>
      <c r="AC62">
        <f t="shared" si="11"/>
        <v>0</v>
      </c>
      <c r="AD62">
        <f t="shared" si="11"/>
        <v>0</v>
      </c>
      <c r="AE62">
        <f t="shared" si="11"/>
        <v>0</v>
      </c>
      <c r="AF62">
        <f t="shared" si="11"/>
        <v>0</v>
      </c>
      <c r="AG62">
        <f t="shared" si="11"/>
        <v>0</v>
      </c>
      <c r="AH62">
        <f t="shared" si="11"/>
        <v>0</v>
      </c>
      <c r="AI62">
        <f t="shared" si="11"/>
        <v>0</v>
      </c>
      <c r="AJ62">
        <f t="shared" si="11"/>
        <v>0</v>
      </c>
      <c r="AK62">
        <f t="shared" si="11"/>
        <v>0</v>
      </c>
      <c r="AL62">
        <f t="shared" si="11"/>
        <v>0</v>
      </c>
      <c r="AM62">
        <f t="shared" si="11"/>
        <v>0</v>
      </c>
      <c r="AO62">
        <f>SUM(C62:AM62)</f>
        <v>0</v>
      </c>
      <c r="AQ62" s="15"/>
      <c r="AR62" s="13"/>
    </row>
    <row r="63" spans="1:45" hidden="1" outlineLevel="2" x14ac:dyDescent="0.35">
      <c r="A63" s="5" t="s">
        <v>62</v>
      </c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Q63" s="15"/>
      <c r="AR63" s="13"/>
    </row>
    <row r="64" spans="1:45" hidden="1" outlineLevel="2" x14ac:dyDescent="0.35">
      <c r="A64" s="5" t="s">
        <v>63</v>
      </c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Q64" s="15"/>
      <c r="AR64" s="13"/>
    </row>
    <row r="65" spans="1:44" hidden="1" outlineLevel="2" x14ac:dyDescent="0.35">
      <c r="A65" s="5" t="s">
        <v>64</v>
      </c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Q65" s="15"/>
      <c r="AR65" s="13"/>
    </row>
    <row r="66" spans="1:44" hidden="1" outlineLevel="2" x14ac:dyDescent="0.35">
      <c r="A66" s="5" t="s">
        <v>65</v>
      </c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Q66" s="15"/>
      <c r="AR66" s="13"/>
    </row>
    <row r="67" spans="1:44" hidden="1" outlineLevel="2" x14ac:dyDescent="0.35">
      <c r="A67" s="5" t="s">
        <v>66</v>
      </c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Q67" s="15"/>
      <c r="AR67" s="13"/>
    </row>
    <row r="68" spans="1:44" hidden="1" outlineLevel="2" x14ac:dyDescent="0.35">
      <c r="A68" s="5" t="s">
        <v>67</v>
      </c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Q68" s="15"/>
      <c r="AR68" s="13"/>
    </row>
    <row r="69" spans="1:44" hidden="1" outlineLevel="1" collapsed="1" x14ac:dyDescent="0.35">
      <c r="A69" s="164" t="s">
        <v>68</v>
      </c>
      <c r="C69">
        <f t="shared" ref="C69:AM69" si="12">SUM(C70:C74)</f>
        <v>0</v>
      </c>
      <c r="D69">
        <f t="shared" si="12"/>
        <v>0</v>
      </c>
      <c r="E69">
        <f t="shared" si="12"/>
        <v>0</v>
      </c>
      <c r="F69">
        <f t="shared" si="12"/>
        <v>0</v>
      </c>
      <c r="G69">
        <f t="shared" si="12"/>
        <v>0</v>
      </c>
      <c r="H69">
        <f t="shared" si="12"/>
        <v>0</v>
      </c>
      <c r="I69">
        <f t="shared" si="12"/>
        <v>0</v>
      </c>
      <c r="J69">
        <f t="shared" si="12"/>
        <v>0</v>
      </c>
      <c r="K69">
        <f t="shared" si="12"/>
        <v>0</v>
      </c>
      <c r="L69">
        <f t="shared" si="12"/>
        <v>0</v>
      </c>
      <c r="M69">
        <f t="shared" si="12"/>
        <v>0</v>
      </c>
      <c r="N69">
        <f t="shared" si="12"/>
        <v>0</v>
      </c>
      <c r="O69">
        <f t="shared" si="12"/>
        <v>0</v>
      </c>
      <c r="P69">
        <f t="shared" si="12"/>
        <v>0</v>
      </c>
      <c r="Q69">
        <f t="shared" si="12"/>
        <v>0</v>
      </c>
      <c r="R69">
        <f t="shared" si="12"/>
        <v>0</v>
      </c>
      <c r="S69">
        <f t="shared" si="12"/>
        <v>0</v>
      </c>
      <c r="T69">
        <f t="shared" si="12"/>
        <v>0</v>
      </c>
      <c r="U69">
        <f t="shared" si="12"/>
        <v>0</v>
      </c>
      <c r="V69">
        <f t="shared" si="12"/>
        <v>0</v>
      </c>
      <c r="W69">
        <f t="shared" si="12"/>
        <v>0</v>
      </c>
      <c r="X69">
        <f t="shared" si="12"/>
        <v>0</v>
      </c>
      <c r="Y69">
        <f t="shared" si="12"/>
        <v>0</v>
      </c>
      <c r="Z69">
        <f t="shared" si="12"/>
        <v>0</v>
      </c>
      <c r="AA69">
        <f t="shared" si="12"/>
        <v>0</v>
      </c>
      <c r="AB69">
        <f t="shared" si="12"/>
        <v>0</v>
      </c>
      <c r="AC69">
        <f t="shared" si="12"/>
        <v>0</v>
      </c>
      <c r="AD69">
        <f t="shared" si="12"/>
        <v>0</v>
      </c>
      <c r="AE69">
        <f t="shared" si="12"/>
        <v>0</v>
      </c>
      <c r="AF69">
        <f t="shared" si="12"/>
        <v>0</v>
      </c>
      <c r="AG69">
        <f t="shared" si="12"/>
        <v>0</v>
      </c>
      <c r="AH69">
        <f t="shared" si="12"/>
        <v>0</v>
      </c>
      <c r="AI69">
        <f t="shared" si="12"/>
        <v>0</v>
      </c>
      <c r="AJ69">
        <f t="shared" si="12"/>
        <v>0</v>
      </c>
      <c r="AK69">
        <f t="shared" si="12"/>
        <v>0</v>
      </c>
      <c r="AL69">
        <f t="shared" si="12"/>
        <v>0</v>
      </c>
      <c r="AM69">
        <f t="shared" si="12"/>
        <v>0</v>
      </c>
      <c r="AN69" s="6"/>
      <c r="AO69">
        <f>SUM(C69:AM69)</f>
        <v>0</v>
      </c>
      <c r="AQ69" s="15"/>
      <c r="AR69" s="13"/>
    </row>
    <row r="70" spans="1:44" hidden="1" outlineLevel="2" x14ac:dyDescent="0.35">
      <c r="A70" s="5" t="s">
        <v>63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Q70" s="15"/>
      <c r="AR70" s="13"/>
    </row>
    <row r="71" spans="1:44" hidden="1" outlineLevel="2" x14ac:dyDescent="0.35">
      <c r="A71" s="5" t="s">
        <v>64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Q71" s="15"/>
      <c r="AR71" s="13"/>
    </row>
    <row r="72" spans="1:44" hidden="1" outlineLevel="2" x14ac:dyDescent="0.35">
      <c r="A72" s="5" t="s">
        <v>65</v>
      </c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Q72" s="15"/>
      <c r="AR72" s="13"/>
    </row>
    <row r="73" spans="1:44" hidden="1" outlineLevel="2" x14ac:dyDescent="0.35">
      <c r="A73" s="5" t="s">
        <v>66</v>
      </c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Q73" s="15"/>
      <c r="AR73" s="13"/>
    </row>
    <row r="74" spans="1:44" hidden="1" outlineLevel="2" x14ac:dyDescent="0.35">
      <c r="A74" s="5" t="s">
        <v>67</v>
      </c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Q74" s="15"/>
      <c r="AR74" s="13"/>
    </row>
    <row r="75" spans="1:44" hidden="1" outlineLevel="1" collapsed="1" x14ac:dyDescent="0.35">
      <c r="A75" s="164" t="s">
        <v>69</v>
      </c>
      <c r="C75">
        <f t="shared" ref="C75:AM75" si="13">SUM(C76:C82)</f>
        <v>0</v>
      </c>
      <c r="D75">
        <f t="shared" si="13"/>
        <v>0</v>
      </c>
      <c r="E75">
        <f t="shared" si="13"/>
        <v>0</v>
      </c>
      <c r="F75">
        <f t="shared" si="13"/>
        <v>0</v>
      </c>
      <c r="G75">
        <f t="shared" si="13"/>
        <v>0</v>
      </c>
      <c r="H75">
        <f t="shared" si="13"/>
        <v>0</v>
      </c>
      <c r="I75">
        <f t="shared" si="13"/>
        <v>0</v>
      </c>
      <c r="J75">
        <f t="shared" si="13"/>
        <v>0</v>
      </c>
      <c r="K75">
        <f t="shared" si="13"/>
        <v>0</v>
      </c>
      <c r="L75">
        <f t="shared" si="13"/>
        <v>0</v>
      </c>
      <c r="M75">
        <f t="shared" si="13"/>
        <v>0</v>
      </c>
      <c r="N75">
        <f t="shared" si="13"/>
        <v>0</v>
      </c>
      <c r="O75">
        <f t="shared" si="13"/>
        <v>0</v>
      </c>
      <c r="P75">
        <f t="shared" si="13"/>
        <v>0</v>
      </c>
      <c r="Q75">
        <f t="shared" si="13"/>
        <v>0</v>
      </c>
      <c r="R75">
        <f t="shared" si="13"/>
        <v>0</v>
      </c>
      <c r="S75">
        <f t="shared" si="13"/>
        <v>0</v>
      </c>
      <c r="T75">
        <f t="shared" si="13"/>
        <v>0</v>
      </c>
      <c r="U75">
        <f t="shared" si="13"/>
        <v>0</v>
      </c>
      <c r="V75">
        <f t="shared" si="13"/>
        <v>0</v>
      </c>
      <c r="W75">
        <f t="shared" si="13"/>
        <v>0</v>
      </c>
      <c r="X75">
        <f t="shared" si="13"/>
        <v>0</v>
      </c>
      <c r="Y75">
        <f t="shared" si="13"/>
        <v>0</v>
      </c>
      <c r="Z75">
        <f t="shared" si="13"/>
        <v>0</v>
      </c>
      <c r="AA75">
        <f t="shared" si="13"/>
        <v>0</v>
      </c>
      <c r="AB75">
        <f t="shared" si="13"/>
        <v>0</v>
      </c>
      <c r="AC75">
        <f t="shared" si="13"/>
        <v>0</v>
      </c>
      <c r="AD75">
        <f t="shared" si="13"/>
        <v>0</v>
      </c>
      <c r="AE75">
        <f t="shared" si="13"/>
        <v>0</v>
      </c>
      <c r="AF75">
        <f t="shared" si="13"/>
        <v>0</v>
      </c>
      <c r="AG75">
        <f t="shared" si="13"/>
        <v>0</v>
      </c>
      <c r="AH75">
        <f t="shared" si="13"/>
        <v>0</v>
      </c>
      <c r="AI75">
        <f t="shared" si="13"/>
        <v>0</v>
      </c>
      <c r="AJ75">
        <f t="shared" si="13"/>
        <v>0</v>
      </c>
      <c r="AK75">
        <f t="shared" si="13"/>
        <v>0</v>
      </c>
      <c r="AL75">
        <f t="shared" si="13"/>
        <v>0</v>
      </c>
      <c r="AM75">
        <f t="shared" si="13"/>
        <v>0</v>
      </c>
      <c r="AO75">
        <f>SUM(C75:AM75)</f>
        <v>0</v>
      </c>
      <c r="AQ75" s="15"/>
      <c r="AR75" s="13"/>
    </row>
    <row r="76" spans="1:44" hidden="1" outlineLevel="2" x14ac:dyDescent="0.35">
      <c r="A76" s="5" t="s">
        <v>70</v>
      </c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Q76" s="15"/>
      <c r="AR76" s="13"/>
    </row>
    <row r="77" spans="1:44" hidden="1" outlineLevel="2" x14ac:dyDescent="0.35">
      <c r="A77" s="5" t="s">
        <v>71</v>
      </c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Q77" s="15"/>
      <c r="AR77" s="13"/>
    </row>
    <row r="78" spans="1:44" hidden="1" outlineLevel="2" x14ac:dyDescent="0.35">
      <c r="A78" s="5" t="s">
        <v>72</v>
      </c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Q78" s="15"/>
      <c r="AR78" s="13"/>
    </row>
    <row r="79" spans="1:44" hidden="1" outlineLevel="2" x14ac:dyDescent="0.35">
      <c r="A79" s="5" t="s">
        <v>73</v>
      </c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Q79" s="15"/>
      <c r="AR79" s="13"/>
    </row>
    <row r="80" spans="1:44" hidden="1" outlineLevel="2" x14ac:dyDescent="0.35">
      <c r="A80" s="5" t="s">
        <v>74</v>
      </c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Q80" s="15"/>
      <c r="AR80" s="13"/>
    </row>
    <row r="81" spans="1:49" hidden="1" outlineLevel="2" x14ac:dyDescent="0.35">
      <c r="A81" s="5" t="s">
        <v>75</v>
      </c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Q81" s="15"/>
      <c r="AR81" s="13"/>
    </row>
    <row r="82" spans="1:49" hidden="1" outlineLevel="2" x14ac:dyDescent="0.35">
      <c r="A82" s="5" t="s">
        <v>76</v>
      </c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Q82" s="15"/>
      <c r="AR82" s="13"/>
    </row>
    <row r="83" spans="1:49" hidden="1" outlineLevel="1" collapsed="1" x14ac:dyDescent="0.35">
      <c r="A83" s="164" t="s">
        <v>77</v>
      </c>
      <c r="C83">
        <f t="shared" ref="C83:AM83" si="14">SUM(C84:C90)</f>
        <v>0</v>
      </c>
      <c r="D83">
        <f t="shared" si="14"/>
        <v>0</v>
      </c>
      <c r="E83">
        <f t="shared" si="14"/>
        <v>0</v>
      </c>
      <c r="F83">
        <f t="shared" si="14"/>
        <v>0</v>
      </c>
      <c r="G83">
        <f t="shared" si="14"/>
        <v>0</v>
      </c>
      <c r="H83">
        <f t="shared" si="14"/>
        <v>0</v>
      </c>
      <c r="I83">
        <f t="shared" si="14"/>
        <v>0</v>
      </c>
      <c r="J83">
        <f t="shared" si="14"/>
        <v>0</v>
      </c>
      <c r="K83">
        <f t="shared" si="14"/>
        <v>0</v>
      </c>
      <c r="L83">
        <f t="shared" si="14"/>
        <v>0</v>
      </c>
      <c r="M83">
        <f t="shared" si="14"/>
        <v>0</v>
      </c>
      <c r="N83">
        <f t="shared" si="14"/>
        <v>0</v>
      </c>
      <c r="O83">
        <f t="shared" si="14"/>
        <v>0</v>
      </c>
      <c r="P83">
        <f t="shared" si="14"/>
        <v>0</v>
      </c>
      <c r="Q83">
        <f t="shared" si="14"/>
        <v>0</v>
      </c>
      <c r="R83">
        <f t="shared" si="14"/>
        <v>0</v>
      </c>
      <c r="S83">
        <f t="shared" si="14"/>
        <v>0</v>
      </c>
      <c r="T83">
        <f t="shared" si="14"/>
        <v>0</v>
      </c>
      <c r="U83">
        <f t="shared" si="14"/>
        <v>0</v>
      </c>
      <c r="V83">
        <f t="shared" si="14"/>
        <v>0</v>
      </c>
      <c r="W83">
        <f t="shared" si="14"/>
        <v>0</v>
      </c>
      <c r="X83">
        <f t="shared" si="14"/>
        <v>0</v>
      </c>
      <c r="Y83">
        <f t="shared" si="14"/>
        <v>0</v>
      </c>
      <c r="Z83">
        <f t="shared" si="14"/>
        <v>0</v>
      </c>
      <c r="AA83">
        <f t="shared" si="14"/>
        <v>0</v>
      </c>
      <c r="AB83">
        <f t="shared" si="14"/>
        <v>0</v>
      </c>
      <c r="AC83">
        <f t="shared" si="14"/>
        <v>0</v>
      </c>
      <c r="AD83">
        <f t="shared" si="14"/>
        <v>0</v>
      </c>
      <c r="AE83">
        <f t="shared" si="14"/>
        <v>0</v>
      </c>
      <c r="AF83">
        <f t="shared" si="14"/>
        <v>0</v>
      </c>
      <c r="AG83">
        <f t="shared" si="14"/>
        <v>0</v>
      </c>
      <c r="AH83">
        <f t="shared" si="14"/>
        <v>0</v>
      </c>
      <c r="AI83">
        <f t="shared" si="14"/>
        <v>0</v>
      </c>
      <c r="AJ83">
        <f t="shared" si="14"/>
        <v>0</v>
      </c>
      <c r="AK83">
        <f t="shared" si="14"/>
        <v>0</v>
      </c>
      <c r="AL83">
        <f t="shared" si="14"/>
        <v>0</v>
      </c>
      <c r="AM83">
        <f t="shared" si="14"/>
        <v>0</v>
      </c>
      <c r="AO83">
        <f>SUM(C83:AM83)</f>
        <v>0</v>
      </c>
      <c r="AQ83" s="15"/>
      <c r="AR83" s="13"/>
    </row>
    <row r="84" spans="1:49" hidden="1" outlineLevel="2" x14ac:dyDescent="0.35">
      <c r="A84" s="5" t="s">
        <v>70</v>
      </c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Q84" s="15"/>
      <c r="AR84" s="13"/>
    </row>
    <row r="85" spans="1:49" hidden="1" outlineLevel="2" x14ac:dyDescent="0.35">
      <c r="A85" s="5" t="s">
        <v>71</v>
      </c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Q85" s="15"/>
      <c r="AR85" s="13"/>
    </row>
    <row r="86" spans="1:49" hidden="1" outlineLevel="2" x14ac:dyDescent="0.35">
      <c r="A86" s="5" t="s">
        <v>72</v>
      </c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Q86" s="15"/>
      <c r="AR86" s="13"/>
    </row>
    <row r="87" spans="1:49" hidden="1" outlineLevel="2" x14ac:dyDescent="0.35">
      <c r="A87" s="5" t="s">
        <v>73</v>
      </c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Q87" s="15"/>
      <c r="AR87" s="13"/>
    </row>
    <row r="88" spans="1:49" hidden="1" outlineLevel="2" x14ac:dyDescent="0.35">
      <c r="A88" s="5" t="s">
        <v>74</v>
      </c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Q88" s="15"/>
      <c r="AR88" s="13"/>
    </row>
    <row r="89" spans="1:49" hidden="1" outlineLevel="2" x14ac:dyDescent="0.35">
      <c r="A89" s="5" t="s">
        <v>75</v>
      </c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Q89" s="15"/>
      <c r="AR89" s="13"/>
    </row>
    <row r="90" spans="1:49" hidden="1" outlineLevel="2" x14ac:dyDescent="0.35">
      <c r="A90" s="5" t="s">
        <v>76</v>
      </c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Q90" s="15"/>
      <c r="AR90" s="13"/>
    </row>
    <row r="91" spans="1:49" x14ac:dyDescent="0.35">
      <c r="A91" s="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19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Q91" s="15"/>
      <c r="AR91" s="13"/>
    </row>
    <row r="92" spans="1:49" ht="29" collapsed="1" x14ac:dyDescent="0.35">
      <c r="A92" s="163" t="s">
        <v>78</v>
      </c>
      <c r="C92" s="11">
        <f>C93+C99+C101+C105+C111</f>
        <v>0</v>
      </c>
      <c r="D92" s="11">
        <f t="shared" ref="D92:AM92" si="15">D93+D99+D101+D105+D111</f>
        <v>0</v>
      </c>
      <c r="E92" s="11">
        <f t="shared" si="15"/>
        <v>0</v>
      </c>
      <c r="F92" s="11">
        <f t="shared" si="15"/>
        <v>0</v>
      </c>
      <c r="G92" s="11">
        <f t="shared" si="15"/>
        <v>0</v>
      </c>
      <c r="H92" s="11">
        <f t="shared" si="15"/>
        <v>0</v>
      </c>
      <c r="I92" s="11">
        <f t="shared" si="15"/>
        <v>0</v>
      </c>
      <c r="J92" s="11">
        <f t="shared" si="15"/>
        <v>0</v>
      </c>
      <c r="K92" s="11">
        <f t="shared" si="15"/>
        <v>0</v>
      </c>
      <c r="L92" s="11">
        <f t="shared" si="15"/>
        <v>0</v>
      </c>
      <c r="M92" s="11">
        <f t="shared" si="15"/>
        <v>0</v>
      </c>
      <c r="N92" s="11">
        <f t="shared" si="15"/>
        <v>0</v>
      </c>
      <c r="O92" s="11">
        <f t="shared" si="15"/>
        <v>0</v>
      </c>
      <c r="P92" s="11">
        <f t="shared" si="15"/>
        <v>0</v>
      </c>
      <c r="Q92" s="11">
        <f t="shared" si="15"/>
        <v>0</v>
      </c>
      <c r="R92" s="11">
        <f t="shared" si="15"/>
        <v>0</v>
      </c>
      <c r="S92" s="11">
        <f t="shared" si="15"/>
        <v>0</v>
      </c>
      <c r="T92" s="11">
        <f t="shared" si="15"/>
        <v>0</v>
      </c>
      <c r="U92" s="11">
        <f t="shared" si="15"/>
        <v>0</v>
      </c>
      <c r="V92" s="11">
        <f t="shared" si="15"/>
        <v>0</v>
      </c>
      <c r="W92" s="11">
        <f t="shared" si="15"/>
        <v>0</v>
      </c>
      <c r="X92" s="11">
        <f t="shared" si="15"/>
        <v>0</v>
      </c>
      <c r="Y92" s="11">
        <f t="shared" si="15"/>
        <v>0</v>
      </c>
      <c r="Z92" s="11">
        <f t="shared" si="15"/>
        <v>0</v>
      </c>
      <c r="AA92" s="11">
        <f t="shared" si="15"/>
        <v>0</v>
      </c>
      <c r="AB92" s="11">
        <f t="shared" si="15"/>
        <v>0</v>
      </c>
      <c r="AC92" s="11">
        <f t="shared" si="15"/>
        <v>0</v>
      </c>
      <c r="AD92" s="11">
        <f t="shared" si="15"/>
        <v>0</v>
      </c>
      <c r="AE92" s="11">
        <f t="shared" si="15"/>
        <v>0</v>
      </c>
      <c r="AF92" s="11">
        <f t="shared" si="15"/>
        <v>0</v>
      </c>
      <c r="AG92" s="11">
        <f t="shared" si="15"/>
        <v>0</v>
      </c>
      <c r="AH92" s="11">
        <f t="shared" si="15"/>
        <v>0</v>
      </c>
      <c r="AI92" s="11">
        <f t="shared" si="15"/>
        <v>0</v>
      </c>
      <c r="AJ92" s="11">
        <f t="shared" si="15"/>
        <v>0</v>
      </c>
      <c r="AK92" s="11">
        <f t="shared" si="15"/>
        <v>0</v>
      </c>
      <c r="AL92" s="11">
        <f t="shared" si="15"/>
        <v>0</v>
      </c>
      <c r="AM92" s="11">
        <f t="shared" si="15"/>
        <v>0</v>
      </c>
      <c r="AN92" s="6"/>
      <c r="AP92">
        <f>SUM(C92:AM92)</f>
        <v>0</v>
      </c>
      <c r="AQ92" s="168">
        <f>825/7.45</f>
        <v>110.73825503355704</v>
      </c>
      <c r="AR92" s="13">
        <f>AP92*AQ92</f>
        <v>0</v>
      </c>
      <c r="AS92" s="10">
        <f>(AP92/135)/$AS$2</f>
        <v>0</v>
      </c>
      <c r="AW92" s="13"/>
    </row>
    <row r="93" spans="1:49" hidden="1" outlineLevel="1" collapsed="1" x14ac:dyDescent="0.35">
      <c r="A93" s="164" t="s">
        <v>31</v>
      </c>
      <c r="C93" s="20">
        <f t="shared" ref="C93:AM93" si="16">SUM(C94:C98)</f>
        <v>0</v>
      </c>
      <c r="D93" s="20">
        <f t="shared" si="16"/>
        <v>0</v>
      </c>
      <c r="E93" s="20">
        <f t="shared" si="16"/>
        <v>0</v>
      </c>
      <c r="F93" s="20">
        <f t="shared" si="16"/>
        <v>0</v>
      </c>
      <c r="G93" s="20">
        <f t="shared" si="16"/>
        <v>0</v>
      </c>
      <c r="H93" s="20">
        <f t="shared" si="16"/>
        <v>0</v>
      </c>
      <c r="I93" s="20">
        <f t="shared" si="16"/>
        <v>0</v>
      </c>
      <c r="J93" s="20">
        <f t="shared" si="16"/>
        <v>0</v>
      </c>
      <c r="K93" s="20">
        <f t="shared" si="16"/>
        <v>0</v>
      </c>
      <c r="L93" s="20">
        <f t="shared" si="16"/>
        <v>0</v>
      </c>
      <c r="M93" s="20">
        <f t="shared" si="16"/>
        <v>0</v>
      </c>
      <c r="N93" s="20">
        <f t="shared" si="16"/>
        <v>0</v>
      </c>
      <c r="O93" s="20">
        <f t="shared" si="16"/>
        <v>0</v>
      </c>
      <c r="P93" s="20">
        <f t="shared" si="16"/>
        <v>0</v>
      </c>
      <c r="Q93" s="20">
        <f t="shared" si="16"/>
        <v>0</v>
      </c>
      <c r="R93" s="20">
        <f t="shared" si="16"/>
        <v>0</v>
      </c>
      <c r="S93" s="20">
        <f t="shared" si="16"/>
        <v>0</v>
      </c>
      <c r="T93" s="20">
        <f t="shared" si="16"/>
        <v>0</v>
      </c>
      <c r="U93" s="20">
        <f t="shared" si="16"/>
        <v>0</v>
      </c>
      <c r="V93" s="20">
        <f t="shared" si="16"/>
        <v>0</v>
      </c>
      <c r="W93" s="20">
        <f t="shared" si="16"/>
        <v>0</v>
      </c>
      <c r="X93" s="20">
        <f t="shared" si="16"/>
        <v>0</v>
      </c>
      <c r="Y93" s="20">
        <f t="shared" si="16"/>
        <v>0</v>
      </c>
      <c r="Z93" s="20">
        <f t="shared" si="16"/>
        <v>0</v>
      </c>
      <c r="AA93" s="20">
        <f t="shared" si="16"/>
        <v>0</v>
      </c>
      <c r="AB93" s="20">
        <f t="shared" si="16"/>
        <v>0</v>
      </c>
      <c r="AC93" s="20">
        <f t="shared" si="16"/>
        <v>0</v>
      </c>
      <c r="AD93" s="20">
        <f t="shared" si="16"/>
        <v>0</v>
      </c>
      <c r="AE93" s="20">
        <f t="shared" si="16"/>
        <v>0</v>
      </c>
      <c r="AF93" s="20">
        <f t="shared" si="16"/>
        <v>0</v>
      </c>
      <c r="AG93" s="20">
        <f t="shared" si="16"/>
        <v>0</v>
      </c>
      <c r="AH93" s="20">
        <f t="shared" si="16"/>
        <v>0</v>
      </c>
      <c r="AI93" s="20">
        <f t="shared" si="16"/>
        <v>0</v>
      </c>
      <c r="AJ93" s="20">
        <f t="shared" si="16"/>
        <v>0</v>
      </c>
      <c r="AK93" s="20">
        <f t="shared" si="16"/>
        <v>0</v>
      </c>
      <c r="AL93" s="20">
        <f t="shared" si="16"/>
        <v>0</v>
      </c>
      <c r="AM93" s="20">
        <f t="shared" si="16"/>
        <v>0</v>
      </c>
      <c r="AN93" s="6"/>
      <c r="AO93">
        <f>SUM(C93:AM93)</f>
        <v>0</v>
      </c>
      <c r="AQ93" s="15"/>
      <c r="AR93" s="13"/>
    </row>
    <row r="94" spans="1:49" hidden="1" outlineLevel="2" x14ac:dyDescent="0.35">
      <c r="A94" s="5" t="s">
        <v>32</v>
      </c>
      <c r="C94" s="14"/>
      <c r="D94" s="14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6"/>
      <c r="AQ94" s="15"/>
      <c r="AR94" s="13"/>
    </row>
    <row r="95" spans="1:49" hidden="1" outlineLevel="2" x14ac:dyDescent="0.35">
      <c r="A95" s="5" t="s">
        <v>36</v>
      </c>
      <c r="C95" s="14"/>
      <c r="D95" s="14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6"/>
      <c r="AQ95" s="15"/>
      <c r="AR95" s="13"/>
    </row>
    <row r="96" spans="1:49" hidden="1" outlineLevel="2" x14ac:dyDescent="0.35">
      <c r="A96" s="5" t="s">
        <v>37</v>
      </c>
      <c r="C96" s="14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6"/>
      <c r="AQ96" s="15"/>
      <c r="AR96" s="13"/>
    </row>
    <row r="97" spans="1:44" hidden="1" outlineLevel="2" x14ac:dyDescent="0.35">
      <c r="A97" s="5" t="s">
        <v>38</v>
      </c>
      <c r="C97" s="14"/>
      <c r="D97" s="1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6"/>
      <c r="AQ97" s="15"/>
      <c r="AR97" s="13"/>
    </row>
    <row r="98" spans="1:44" hidden="1" outlineLevel="2" x14ac:dyDescent="0.35">
      <c r="A98" s="5" t="s">
        <v>42</v>
      </c>
      <c r="C98" s="14"/>
      <c r="D98" s="1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6"/>
      <c r="AQ98" s="15"/>
      <c r="AR98" s="13"/>
    </row>
    <row r="99" spans="1:44" hidden="1" outlineLevel="1" collapsed="1" x14ac:dyDescent="0.35">
      <c r="A99" s="164" t="s">
        <v>44</v>
      </c>
      <c r="C99" s="20">
        <f t="shared" ref="C99:AM99" si="17">SUM(C100:C100)</f>
        <v>0</v>
      </c>
      <c r="D99" s="20">
        <f t="shared" si="17"/>
        <v>0</v>
      </c>
      <c r="E99" s="20">
        <f t="shared" si="17"/>
        <v>0</v>
      </c>
      <c r="F99" s="20">
        <f t="shared" si="17"/>
        <v>0</v>
      </c>
      <c r="G99" s="20">
        <f t="shared" si="17"/>
        <v>0</v>
      </c>
      <c r="H99" s="20">
        <f t="shared" si="17"/>
        <v>0</v>
      </c>
      <c r="I99" s="20">
        <f t="shared" si="17"/>
        <v>0</v>
      </c>
      <c r="J99" s="20">
        <f t="shared" si="17"/>
        <v>0</v>
      </c>
      <c r="K99" s="20">
        <f t="shared" si="17"/>
        <v>0</v>
      </c>
      <c r="L99" s="20">
        <f t="shared" si="17"/>
        <v>0</v>
      </c>
      <c r="M99" s="20">
        <f t="shared" si="17"/>
        <v>0</v>
      </c>
      <c r="N99" s="20">
        <f t="shared" si="17"/>
        <v>0</v>
      </c>
      <c r="O99" s="20">
        <f t="shared" si="17"/>
        <v>0</v>
      </c>
      <c r="P99" s="20">
        <f t="shared" si="17"/>
        <v>0</v>
      </c>
      <c r="Q99" s="20">
        <f t="shared" si="17"/>
        <v>0</v>
      </c>
      <c r="R99" s="20">
        <f t="shared" si="17"/>
        <v>0</v>
      </c>
      <c r="S99" s="20">
        <f t="shared" si="17"/>
        <v>0</v>
      </c>
      <c r="T99" s="20">
        <f t="shared" si="17"/>
        <v>0</v>
      </c>
      <c r="U99" s="20">
        <f t="shared" si="17"/>
        <v>0</v>
      </c>
      <c r="V99" s="20">
        <f t="shared" si="17"/>
        <v>0</v>
      </c>
      <c r="W99" s="20">
        <f t="shared" si="17"/>
        <v>0</v>
      </c>
      <c r="X99" s="20">
        <f t="shared" si="17"/>
        <v>0</v>
      </c>
      <c r="Y99" s="20">
        <f t="shared" si="17"/>
        <v>0</v>
      </c>
      <c r="Z99" s="20">
        <f t="shared" si="17"/>
        <v>0</v>
      </c>
      <c r="AA99" s="20">
        <f t="shared" si="17"/>
        <v>0</v>
      </c>
      <c r="AB99" s="20">
        <f t="shared" si="17"/>
        <v>0</v>
      </c>
      <c r="AC99" s="20">
        <f t="shared" si="17"/>
        <v>0</v>
      </c>
      <c r="AD99" s="20">
        <f t="shared" si="17"/>
        <v>0</v>
      </c>
      <c r="AE99" s="20">
        <f t="shared" si="17"/>
        <v>0</v>
      </c>
      <c r="AF99" s="20">
        <f t="shared" si="17"/>
        <v>0</v>
      </c>
      <c r="AG99" s="20">
        <f t="shared" si="17"/>
        <v>0</v>
      </c>
      <c r="AH99" s="20">
        <f t="shared" si="17"/>
        <v>0</v>
      </c>
      <c r="AI99" s="20">
        <f t="shared" si="17"/>
        <v>0</v>
      </c>
      <c r="AJ99" s="20">
        <f t="shared" si="17"/>
        <v>0</v>
      </c>
      <c r="AK99" s="20">
        <f t="shared" si="17"/>
        <v>0</v>
      </c>
      <c r="AL99" s="20">
        <f t="shared" si="17"/>
        <v>0</v>
      </c>
      <c r="AM99" s="20">
        <f t="shared" si="17"/>
        <v>0</v>
      </c>
      <c r="AN99" s="6"/>
      <c r="AO99">
        <f>SUM(C99:AM99)</f>
        <v>0</v>
      </c>
      <c r="AQ99" s="15"/>
      <c r="AR99" s="13"/>
    </row>
    <row r="100" spans="1:44" hidden="1" outlineLevel="2" x14ac:dyDescent="0.35">
      <c r="A100" s="5" t="s">
        <v>46</v>
      </c>
      <c r="C100" s="14">
        <f>C34</f>
        <v>0</v>
      </c>
      <c r="D100" s="14">
        <f t="shared" ref="D100:AM100" si="18">D34</f>
        <v>0</v>
      </c>
      <c r="E100" s="14">
        <f t="shared" si="18"/>
        <v>0</v>
      </c>
      <c r="F100" s="14">
        <f t="shared" si="18"/>
        <v>0</v>
      </c>
      <c r="G100" s="14">
        <f t="shared" si="18"/>
        <v>0</v>
      </c>
      <c r="H100" s="14">
        <f t="shared" si="18"/>
        <v>0</v>
      </c>
      <c r="I100" s="14">
        <f t="shared" si="18"/>
        <v>0</v>
      </c>
      <c r="J100" s="14">
        <f t="shared" si="18"/>
        <v>0</v>
      </c>
      <c r="K100" s="14">
        <f t="shared" si="18"/>
        <v>0</v>
      </c>
      <c r="L100" s="14">
        <f t="shared" si="18"/>
        <v>0</v>
      </c>
      <c r="M100" s="14">
        <f t="shared" si="18"/>
        <v>0</v>
      </c>
      <c r="N100" s="14">
        <f t="shared" si="18"/>
        <v>0</v>
      </c>
      <c r="O100" s="14">
        <f t="shared" si="18"/>
        <v>0</v>
      </c>
      <c r="P100" s="14">
        <f t="shared" si="18"/>
        <v>0</v>
      </c>
      <c r="Q100" s="14">
        <f t="shared" si="18"/>
        <v>0</v>
      </c>
      <c r="R100" s="14">
        <f t="shared" si="18"/>
        <v>0</v>
      </c>
      <c r="S100" s="14">
        <f t="shared" si="18"/>
        <v>0</v>
      </c>
      <c r="T100" s="14">
        <f t="shared" si="18"/>
        <v>0</v>
      </c>
      <c r="U100" s="14">
        <f t="shared" si="18"/>
        <v>0</v>
      </c>
      <c r="V100" s="14">
        <f t="shared" si="18"/>
        <v>0</v>
      </c>
      <c r="W100" s="14">
        <f t="shared" si="18"/>
        <v>0</v>
      </c>
      <c r="X100" s="14">
        <f t="shared" si="18"/>
        <v>0</v>
      </c>
      <c r="Y100" s="14">
        <f t="shared" si="18"/>
        <v>0</v>
      </c>
      <c r="Z100" s="14">
        <f t="shared" si="18"/>
        <v>0</v>
      </c>
      <c r="AA100" s="14">
        <f t="shared" si="18"/>
        <v>0</v>
      </c>
      <c r="AB100" s="14">
        <f t="shared" si="18"/>
        <v>0</v>
      </c>
      <c r="AC100" s="14">
        <f t="shared" si="18"/>
        <v>0</v>
      </c>
      <c r="AD100" s="14">
        <f t="shared" si="18"/>
        <v>0</v>
      </c>
      <c r="AE100" s="14">
        <f t="shared" si="18"/>
        <v>0</v>
      </c>
      <c r="AF100" s="14">
        <f t="shared" si="18"/>
        <v>0</v>
      </c>
      <c r="AG100" s="14">
        <f t="shared" si="18"/>
        <v>0</v>
      </c>
      <c r="AH100" s="14">
        <f t="shared" si="18"/>
        <v>0</v>
      </c>
      <c r="AI100" s="14">
        <f t="shared" si="18"/>
        <v>0</v>
      </c>
      <c r="AJ100" s="14">
        <f t="shared" si="18"/>
        <v>0</v>
      </c>
      <c r="AK100" s="14">
        <f t="shared" si="18"/>
        <v>0</v>
      </c>
      <c r="AL100" s="14">
        <f t="shared" si="18"/>
        <v>0</v>
      </c>
      <c r="AM100" s="14">
        <f t="shared" si="18"/>
        <v>0</v>
      </c>
      <c r="AN100" s="6"/>
      <c r="AQ100" s="15"/>
      <c r="AR100" s="13"/>
    </row>
    <row r="101" spans="1:44" hidden="1" outlineLevel="1" collapsed="1" x14ac:dyDescent="0.35">
      <c r="A101" s="164" t="s">
        <v>51</v>
      </c>
      <c r="C101" s="20">
        <f>SUM(C102:C104)</f>
        <v>0</v>
      </c>
      <c r="D101" s="20">
        <f t="shared" ref="D101:AM101" si="19">SUM(D102:D104)</f>
        <v>0</v>
      </c>
      <c r="E101" s="20">
        <f t="shared" si="19"/>
        <v>0</v>
      </c>
      <c r="F101" s="20">
        <f t="shared" si="19"/>
        <v>0</v>
      </c>
      <c r="G101" s="20">
        <f t="shared" si="19"/>
        <v>0</v>
      </c>
      <c r="H101" s="20">
        <f t="shared" si="19"/>
        <v>0</v>
      </c>
      <c r="I101" s="20">
        <f t="shared" si="19"/>
        <v>0</v>
      </c>
      <c r="J101" s="20">
        <f t="shared" si="19"/>
        <v>0</v>
      </c>
      <c r="K101" s="20">
        <f t="shared" si="19"/>
        <v>0</v>
      </c>
      <c r="L101" s="20">
        <f t="shared" si="19"/>
        <v>0</v>
      </c>
      <c r="M101" s="20">
        <f t="shared" si="19"/>
        <v>0</v>
      </c>
      <c r="N101" s="20">
        <f t="shared" si="19"/>
        <v>0</v>
      </c>
      <c r="O101" s="20">
        <f t="shared" si="19"/>
        <v>0</v>
      </c>
      <c r="P101" s="20">
        <f t="shared" si="19"/>
        <v>0</v>
      </c>
      <c r="Q101" s="20">
        <f t="shared" si="19"/>
        <v>0</v>
      </c>
      <c r="R101" s="20">
        <f t="shared" si="19"/>
        <v>0</v>
      </c>
      <c r="S101" s="20">
        <f t="shared" si="19"/>
        <v>0</v>
      </c>
      <c r="T101" s="20">
        <f t="shared" si="19"/>
        <v>0</v>
      </c>
      <c r="U101" s="20">
        <f t="shared" si="19"/>
        <v>0</v>
      </c>
      <c r="V101" s="20">
        <f t="shared" si="19"/>
        <v>0</v>
      </c>
      <c r="W101" s="20">
        <f t="shared" si="19"/>
        <v>0</v>
      </c>
      <c r="X101" s="20">
        <f t="shared" si="19"/>
        <v>0</v>
      </c>
      <c r="Y101" s="20">
        <f t="shared" si="19"/>
        <v>0</v>
      </c>
      <c r="Z101" s="20">
        <f t="shared" si="19"/>
        <v>0</v>
      </c>
      <c r="AA101" s="20">
        <f t="shared" si="19"/>
        <v>0</v>
      </c>
      <c r="AB101" s="20">
        <f t="shared" si="19"/>
        <v>0</v>
      </c>
      <c r="AC101" s="20">
        <f t="shared" si="19"/>
        <v>0</v>
      </c>
      <c r="AD101" s="20">
        <f t="shared" si="19"/>
        <v>0</v>
      </c>
      <c r="AE101" s="20">
        <f t="shared" si="19"/>
        <v>0</v>
      </c>
      <c r="AF101" s="20">
        <f t="shared" si="19"/>
        <v>0</v>
      </c>
      <c r="AG101" s="20">
        <f t="shared" si="19"/>
        <v>0</v>
      </c>
      <c r="AH101" s="20">
        <f t="shared" si="19"/>
        <v>0</v>
      </c>
      <c r="AI101" s="20">
        <f t="shared" si="19"/>
        <v>0</v>
      </c>
      <c r="AJ101" s="20">
        <f t="shared" si="19"/>
        <v>0</v>
      </c>
      <c r="AK101" s="20">
        <f t="shared" si="19"/>
        <v>0</v>
      </c>
      <c r="AL101" s="20">
        <f t="shared" si="19"/>
        <v>0</v>
      </c>
      <c r="AM101" s="20">
        <f t="shared" si="19"/>
        <v>0</v>
      </c>
      <c r="AN101" s="6"/>
      <c r="AO101">
        <f>SUM(C101:AM101)</f>
        <v>0</v>
      </c>
      <c r="AQ101" s="15"/>
      <c r="AR101" s="13"/>
    </row>
    <row r="102" spans="1:44" hidden="1" outlineLevel="2" x14ac:dyDescent="0.35">
      <c r="A102" s="5" t="s">
        <v>52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6"/>
      <c r="AQ102" s="15"/>
      <c r="AR102" s="13"/>
    </row>
    <row r="103" spans="1:44" hidden="1" outlineLevel="2" x14ac:dyDescent="0.35">
      <c r="A103" s="5" t="s">
        <v>53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6"/>
      <c r="AQ103" s="15"/>
      <c r="AR103" s="13"/>
    </row>
    <row r="104" spans="1:44" hidden="1" outlineLevel="2" x14ac:dyDescent="0.35">
      <c r="A104" s="5" t="s">
        <v>55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6"/>
      <c r="AQ104" s="15"/>
      <c r="AR104" s="13"/>
    </row>
    <row r="105" spans="1:44" hidden="1" outlineLevel="1" collapsed="1" x14ac:dyDescent="0.35">
      <c r="A105" s="164" t="s">
        <v>79</v>
      </c>
      <c r="C105">
        <f t="shared" ref="C105:AM105" si="20">SUM(C106:C110)</f>
        <v>0</v>
      </c>
      <c r="D105">
        <f t="shared" si="20"/>
        <v>0</v>
      </c>
      <c r="E105">
        <f t="shared" si="20"/>
        <v>0</v>
      </c>
      <c r="F105">
        <f t="shared" si="20"/>
        <v>0</v>
      </c>
      <c r="G105">
        <f t="shared" si="20"/>
        <v>0</v>
      </c>
      <c r="H105">
        <f t="shared" si="20"/>
        <v>0</v>
      </c>
      <c r="I105">
        <f t="shared" si="20"/>
        <v>0</v>
      </c>
      <c r="J105">
        <f t="shared" si="20"/>
        <v>0</v>
      </c>
      <c r="K105">
        <f t="shared" si="20"/>
        <v>0</v>
      </c>
      <c r="L105">
        <f t="shared" si="20"/>
        <v>0</v>
      </c>
      <c r="M105">
        <f t="shared" si="20"/>
        <v>0</v>
      </c>
      <c r="N105">
        <f t="shared" si="20"/>
        <v>0</v>
      </c>
      <c r="O105">
        <f t="shared" si="20"/>
        <v>0</v>
      </c>
      <c r="P105">
        <f t="shared" si="20"/>
        <v>0</v>
      </c>
      <c r="Q105">
        <f t="shared" si="20"/>
        <v>0</v>
      </c>
      <c r="R105">
        <f t="shared" si="20"/>
        <v>0</v>
      </c>
      <c r="S105">
        <f t="shared" si="20"/>
        <v>0</v>
      </c>
      <c r="T105">
        <f t="shared" si="20"/>
        <v>0</v>
      </c>
      <c r="U105">
        <f t="shared" si="20"/>
        <v>0</v>
      </c>
      <c r="V105">
        <f t="shared" si="20"/>
        <v>0</v>
      </c>
      <c r="W105">
        <f t="shared" si="20"/>
        <v>0</v>
      </c>
      <c r="X105">
        <f t="shared" si="20"/>
        <v>0</v>
      </c>
      <c r="Y105">
        <f t="shared" si="20"/>
        <v>0</v>
      </c>
      <c r="Z105">
        <f t="shared" si="20"/>
        <v>0</v>
      </c>
      <c r="AA105">
        <f t="shared" si="20"/>
        <v>0</v>
      </c>
      <c r="AB105">
        <f t="shared" si="20"/>
        <v>0</v>
      </c>
      <c r="AC105">
        <f t="shared" si="20"/>
        <v>0</v>
      </c>
      <c r="AD105">
        <f t="shared" si="20"/>
        <v>0</v>
      </c>
      <c r="AE105">
        <f t="shared" si="20"/>
        <v>0</v>
      </c>
      <c r="AF105">
        <f t="shared" si="20"/>
        <v>0</v>
      </c>
      <c r="AG105">
        <f t="shared" si="20"/>
        <v>0</v>
      </c>
      <c r="AH105">
        <f t="shared" si="20"/>
        <v>0</v>
      </c>
      <c r="AI105">
        <f t="shared" si="20"/>
        <v>0</v>
      </c>
      <c r="AJ105">
        <f t="shared" si="20"/>
        <v>0</v>
      </c>
      <c r="AK105">
        <f t="shared" si="20"/>
        <v>0</v>
      </c>
      <c r="AL105">
        <f t="shared" si="20"/>
        <v>0</v>
      </c>
      <c r="AM105">
        <f t="shared" si="20"/>
        <v>0</v>
      </c>
      <c r="AN105" s="6"/>
      <c r="AO105">
        <f>SUM(C105:AM105)</f>
        <v>0</v>
      </c>
      <c r="AQ105" s="15"/>
      <c r="AR105" s="13"/>
    </row>
    <row r="106" spans="1:44" hidden="1" outlineLevel="2" x14ac:dyDescent="0.35">
      <c r="A106" s="5" t="s">
        <v>80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Q106" s="15"/>
      <c r="AR106" s="13"/>
    </row>
    <row r="107" spans="1:44" ht="29" hidden="1" outlineLevel="2" x14ac:dyDescent="0.35">
      <c r="A107" s="5" t="s">
        <v>81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Q107" s="15"/>
      <c r="AR107" s="13"/>
    </row>
    <row r="108" spans="1:44" hidden="1" outlineLevel="2" x14ac:dyDescent="0.35">
      <c r="A108" s="5" t="s">
        <v>82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Q108" s="15"/>
      <c r="AR108" s="13"/>
    </row>
    <row r="109" spans="1:44" hidden="1" outlineLevel="2" x14ac:dyDescent="0.35">
      <c r="A109" s="5" t="s">
        <v>83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Q109" s="15"/>
      <c r="AR109" s="13"/>
    </row>
    <row r="110" spans="1:44" hidden="1" outlineLevel="2" x14ac:dyDescent="0.35">
      <c r="A110" s="5" t="s">
        <v>84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61"/>
      <c r="V110" s="161"/>
      <c r="W110" s="161"/>
      <c r="X110" s="161"/>
      <c r="Y110" s="161"/>
      <c r="Z110" s="16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Q110" s="15"/>
      <c r="AR110" s="13"/>
    </row>
    <row r="111" spans="1:44" hidden="1" outlineLevel="1" collapsed="1" x14ac:dyDescent="0.35">
      <c r="A111" s="164" t="s">
        <v>85</v>
      </c>
      <c r="C111">
        <f t="shared" ref="C111:AM111" si="21">SUM(C112:C116)</f>
        <v>0</v>
      </c>
      <c r="D111">
        <f t="shared" si="21"/>
        <v>0</v>
      </c>
      <c r="E111">
        <f t="shared" si="21"/>
        <v>0</v>
      </c>
      <c r="F111">
        <f t="shared" si="21"/>
        <v>0</v>
      </c>
      <c r="G111">
        <f t="shared" si="21"/>
        <v>0</v>
      </c>
      <c r="H111">
        <f t="shared" si="21"/>
        <v>0</v>
      </c>
      <c r="I111">
        <f t="shared" si="21"/>
        <v>0</v>
      </c>
      <c r="J111">
        <f t="shared" si="21"/>
        <v>0</v>
      </c>
      <c r="K111">
        <f t="shared" si="21"/>
        <v>0</v>
      </c>
      <c r="L111">
        <f t="shared" si="21"/>
        <v>0</v>
      </c>
      <c r="M111">
        <f t="shared" si="21"/>
        <v>0</v>
      </c>
      <c r="N111">
        <f t="shared" si="21"/>
        <v>0</v>
      </c>
      <c r="O111">
        <f t="shared" si="21"/>
        <v>0</v>
      </c>
      <c r="P111">
        <f t="shared" si="21"/>
        <v>0</v>
      </c>
      <c r="Q111">
        <f t="shared" si="21"/>
        <v>0</v>
      </c>
      <c r="R111">
        <f t="shared" si="21"/>
        <v>0</v>
      </c>
      <c r="S111">
        <f t="shared" si="21"/>
        <v>0</v>
      </c>
      <c r="T111">
        <f t="shared" si="21"/>
        <v>0</v>
      </c>
      <c r="U111">
        <f t="shared" si="21"/>
        <v>0</v>
      </c>
      <c r="V111">
        <f t="shared" si="21"/>
        <v>0</v>
      </c>
      <c r="W111">
        <f t="shared" si="21"/>
        <v>0</v>
      </c>
      <c r="X111">
        <f t="shared" si="21"/>
        <v>0</v>
      </c>
      <c r="Y111">
        <f t="shared" si="21"/>
        <v>0</v>
      </c>
      <c r="Z111">
        <f t="shared" si="21"/>
        <v>0</v>
      </c>
      <c r="AA111">
        <f t="shared" si="21"/>
        <v>0</v>
      </c>
      <c r="AB111">
        <f t="shared" si="21"/>
        <v>0</v>
      </c>
      <c r="AC111">
        <f t="shared" si="21"/>
        <v>0</v>
      </c>
      <c r="AD111">
        <f t="shared" si="21"/>
        <v>0</v>
      </c>
      <c r="AE111">
        <f t="shared" si="21"/>
        <v>0</v>
      </c>
      <c r="AF111">
        <f t="shared" si="21"/>
        <v>0</v>
      </c>
      <c r="AG111">
        <f t="shared" si="21"/>
        <v>0</v>
      </c>
      <c r="AH111">
        <f t="shared" si="21"/>
        <v>0</v>
      </c>
      <c r="AI111">
        <f t="shared" si="21"/>
        <v>0</v>
      </c>
      <c r="AJ111">
        <f t="shared" si="21"/>
        <v>0</v>
      </c>
      <c r="AK111">
        <f t="shared" si="21"/>
        <v>0</v>
      </c>
      <c r="AL111">
        <f t="shared" si="21"/>
        <v>0</v>
      </c>
      <c r="AM111">
        <f t="shared" si="21"/>
        <v>0</v>
      </c>
      <c r="AN111" s="6"/>
      <c r="AO111">
        <f>SUM(C111:AM111)</f>
        <v>0</v>
      </c>
      <c r="AQ111" s="15"/>
      <c r="AR111" s="13"/>
    </row>
    <row r="112" spans="1:44" hidden="1" outlineLevel="2" x14ac:dyDescent="0.35">
      <c r="A112" s="5" t="s">
        <v>86</v>
      </c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Q112" s="15"/>
      <c r="AR112" s="13"/>
    </row>
    <row r="113" spans="1:45" hidden="1" outlineLevel="2" x14ac:dyDescent="0.35">
      <c r="A113" s="5" t="s">
        <v>87</v>
      </c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Q113" s="15"/>
      <c r="AR113" s="13"/>
    </row>
    <row r="114" spans="1:45" hidden="1" outlineLevel="2" x14ac:dyDescent="0.35">
      <c r="A114" s="5" t="s">
        <v>88</v>
      </c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Q114" s="15"/>
      <c r="AR114" s="13"/>
    </row>
    <row r="115" spans="1:45" hidden="1" outlineLevel="2" x14ac:dyDescent="0.35">
      <c r="A115" s="5" t="s">
        <v>89</v>
      </c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Q115" s="15"/>
      <c r="AR115" s="13"/>
    </row>
    <row r="116" spans="1:45" hidden="1" outlineLevel="2" x14ac:dyDescent="0.35">
      <c r="A116" s="5" t="s">
        <v>90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Q116" s="15"/>
      <c r="AR116" s="13"/>
    </row>
    <row r="118" spans="1:45" collapsed="1" x14ac:dyDescent="0.35">
      <c r="A118" s="163" t="s">
        <v>91</v>
      </c>
      <c r="C118" s="6">
        <f>SUM(C119:C122)</f>
        <v>0</v>
      </c>
      <c r="D118" s="6">
        <f t="shared" ref="D118:AM118" si="22">SUM(D119:D122)</f>
        <v>0</v>
      </c>
      <c r="E118" s="6">
        <f t="shared" si="22"/>
        <v>0</v>
      </c>
      <c r="F118" s="6">
        <f t="shared" si="22"/>
        <v>0</v>
      </c>
      <c r="G118" s="6">
        <f t="shared" si="22"/>
        <v>0</v>
      </c>
      <c r="H118" s="6">
        <f t="shared" si="22"/>
        <v>0</v>
      </c>
      <c r="I118" s="6">
        <f t="shared" si="22"/>
        <v>0</v>
      </c>
      <c r="J118" s="6">
        <f t="shared" si="22"/>
        <v>0</v>
      </c>
      <c r="K118" s="6">
        <f t="shared" si="22"/>
        <v>0</v>
      </c>
      <c r="L118" s="6">
        <f t="shared" si="22"/>
        <v>0</v>
      </c>
      <c r="M118" s="6">
        <f t="shared" si="22"/>
        <v>0</v>
      </c>
      <c r="N118" s="6">
        <f t="shared" si="22"/>
        <v>0</v>
      </c>
      <c r="O118" s="6">
        <f t="shared" si="22"/>
        <v>0</v>
      </c>
      <c r="P118" s="6">
        <f t="shared" si="22"/>
        <v>0</v>
      </c>
      <c r="Q118" s="6">
        <f t="shared" si="22"/>
        <v>0</v>
      </c>
      <c r="R118" s="6">
        <f t="shared" si="22"/>
        <v>0</v>
      </c>
      <c r="S118" s="6">
        <f t="shared" si="22"/>
        <v>0</v>
      </c>
      <c r="T118" s="6">
        <f t="shared" si="22"/>
        <v>0</v>
      </c>
      <c r="U118" s="6">
        <f t="shared" si="22"/>
        <v>0</v>
      </c>
      <c r="V118" s="6">
        <f t="shared" si="22"/>
        <v>0</v>
      </c>
      <c r="W118" s="6">
        <f t="shared" si="22"/>
        <v>0</v>
      </c>
      <c r="X118" s="6">
        <f t="shared" si="22"/>
        <v>0</v>
      </c>
      <c r="Y118" s="6">
        <f t="shared" si="22"/>
        <v>0</v>
      </c>
      <c r="Z118" s="6">
        <f t="shared" si="22"/>
        <v>0</v>
      </c>
      <c r="AA118" s="6">
        <f t="shared" si="22"/>
        <v>0</v>
      </c>
      <c r="AB118" s="6">
        <f t="shared" si="22"/>
        <v>0</v>
      </c>
      <c r="AC118" s="6">
        <f t="shared" si="22"/>
        <v>0</v>
      </c>
      <c r="AD118" s="6">
        <f t="shared" si="22"/>
        <v>0</v>
      </c>
      <c r="AE118" s="6">
        <f t="shared" si="22"/>
        <v>0</v>
      </c>
      <c r="AF118" s="6">
        <f t="shared" si="22"/>
        <v>0</v>
      </c>
      <c r="AG118" s="6">
        <f t="shared" si="22"/>
        <v>0</v>
      </c>
      <c r="AH118" s="6">
        <f t="shared" si="22"/>
        <v>0</v>
      </c>
      <c r="AI118" s="6">
        <f t="shared" si="22"/>
        <v>0</v>
      </c>
      <c r="AJ118" s="6">
        <f t="shared" si="22"/>
        <v>0</v>
      </c>
      <c r="AK118" s="6">
        <f t="shared" si="22"/>
        <v>0</v>
      </c>
      <c r="AL118" s="6">
        <f t="shared" si="22"/>
        <v>0</v>
      </c>
      <c r="AM118" s="6">
        <f t="shared" si="22"/>
        <v>0</v>
      </c>
      <c r="AP118">
        <f>SUM(C118:AM118)</f>
        <v>0</v>
      </c>
      <c r="AQ118" s="168">
        <v>60</v>
      </c>
      <c r="AR118" s="13">
        <f>AP118*AQ118</f>
        <v>0</v>
      </c>
      <c r="AS118" s="10">
        <f>(AP118/135)/$AS$2</f>
        <v>0</v>
      </c>
    </row>
    <row r="119" spans="1:45" hidden="1" outlineLevel="1" x14ac:dyDescent="0.35">
      <c r="A119" s="116" t="s">
        <v>92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O119">
        <f t="shared" ref="AO119:AO122" si="23">SUM(C119:AM119)</f>
        <v>0</v>
      </c>
    </row>
    <row r="120" spans="1:45" ht="29" hidden="1" outlineLevel="1" x14ac:dyDescent="0.35">
      <c r="A120" s="116" t="s">
        <v>93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O120">
        <f t="shared" si="23"/>
        <v>0</v>
      </c>
    </row>
    <row r="121" spans="1:45" hidden="1" outlineLevel="1" x14ac:dyDescent="0.35">
      <c r="A121" s="116" t="s">
        <v>94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O121">
        <f t="shared" si="23"/>
        <v>0</v>
      </c>
    </row>
    <row r="122" spans="1:45" hidden="1" outlineLevel="1" x14ac:dyDescent="0.35">
      <c r="A122" s="116" t="s">
        <v>95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O122">
        <f t="shared" si="23"/>
        <v>0</v>
      </c>
    </row>
    <row r="123" spans="1:45" x14ac:dyDescent="0.35">
      <c r="A123" s="3"/>
    </row>
    <row r="124" spans="1:45" collapsed="1" x14ac:dyDescent="0.35">
      <c r="A124" s="163" t="s">
        <v>96</v>
      </c>
      <c r="C124" s="6">
        <f>SUM(C125:C133)</f>
        <v>0</v>
      </c>
      <c r="D124" s="6">
        <f t="shared" ref="D124:AM124" si="24">SUM(D125:D133)</f>
        <v>0</v>
      </c>
      <c r="E124" s="6">
        <f t="shared" si="24"/>
        <v>0</v>
      </c>
      <c r="F124" s="6">
        <f t="shared" si="24"/>
        <v>0</v>
      </c>
      <c r="G124" s="6">
        <f t="shared" si="24"/>
        <v>0</v>
      </c>
      <c r="H124" s="6">
        <f t="shared" si="24"/>
        <v>0</v>
      </c>
      <c r="I124" s="6">
        <f t="shared" si="24"/>
        <v>0</v>
      </c>
      <c r="J124" s="6">
        <f t="shared" si="24"/>
        <v>0</v>
      </c>
      <c r="K124" s="6">
        <f t="shared" si="24"/>
        <v>0</v>
      </c>
      <c r="L124" s="6">
        <f t="shared" si="24"/>
        <v>0</v>
      </c>
      <c r="M124" s="6">
        <f t="shared" si="24"/>
        <v>0</v>
      </c>
      <c r="N124" s="6">
        <f t="shared" si="24"/>
        <v>0</v>
      </c>
      <c r="O124" s="6">
        <f t="shared" si="24"/>
        <v>0</v>
      </c>
      <c r="P124" s="6">
        <f t="shared" si="24"/>
        <v>0</v>
      </c>
      <c r="Q124" s="6">
        <f t="shared" si="24"/>
        <v>0</v>
      </c>
      <c r="R124" s="6">
        <f t="shared" si="24"/>
        <v>0</v>
      </c>
      <c r="S124" s="6">
        <f t="shared" si="24"/>
        <v>0</v>
      </c>
      <c r="T124" s="6">
        <f t="shared" si="24"/>
        <v>0</v>
      </c>
      <c r="U124" s="6">
        <f t="shared" si="24"/>
        <v>0</v>
      </c>
      <c r="V124" s="6">
        <f t="shared" si="24"/>
        <v>0</v>
      </c>
      <c r="W124" s="6">
        <f t="shared" si="24"/>
        <v>0</v>
      </c>
      <c r="X124" s="6">
        <f t="shared" si="24"/>
        <v>0</v>
      </c>
      <c r="Y124" s="6">
        <f t="shared" si="24"/>
        <v>0</v>
      </c>
      <c r="Z124" s="6">
        <f t="shared" si="24"/>
        <v>0</v>
      </c>
      <c r="AA124" s="6">
        <f t="shared" si="24"/>
        <v>0</v>
      </c>
      <c r="AB124" s="6">
        <f t="shared" si="24"/>
        <v>0</v>
      </c>
      <c r="AC124" s="6">
        <f t="shared" si="24"/>
        <v>0</v>
      </c>
      <c r="AD124" s="6">
        <f t="shared" si="24"/>
        <v>0</v>
      </c>
      <c r="AE124" s="6">
        <f t="shared" si="24"/>
        <v>0</v>
      </c>
      <c r="AF124" s="6">
        <f t="shared" si="24"/>
        <v>0</v>
      </c>
      <c r="AG124" s="6">
        <f t="shared" si="24"/>
        <v>0</v>
      </c>
      <c r="AH124" s="6">
        <f t="shared" si="24"/>
        <v>0</v>
      </c>
      <c r="AI124" s="6">
        <f t="shared" si="24"/>
        <v>0</v>
      </c>
      <c r="AJ124" s="6">
        <f t="shared" si="24"/>
        <v>0</v>
      </c>
      <c r="AK124" s="6">
        <f t="shared" si="24"/>
        <v>0</v>
      </c>
      <c r="AL124" s="6">
        <f t="shared" si="24"/>
        <v>0</v>
      </c>
      <c r="AM124" s="6">
        <f t="shared" si="24"/>
        <v>0</v>
      </c>
      <c r="AP124">
        <f>SUM(C124:AM124)</f>
        <v>0</v>
      </c>
      <c r="AQ124" s="168">
        <f>800/7.45</f>
        <v>107.38255033557047</v>
      </c>
      <c r="AR124" s="13">
        <f>AP124*AQ124</f>
        <v>0</v>
      </c>
      <c r="AS124" s="10">
        <f>(AP124/135)/$AS$2</f>
        <v>0</v>
      </c>
    </row>
    <row r="125" spans="1:45" hidden="1" outlineLevel="1" x14ac:dyDescent="0.35">
      <c r="A125" s="116" t="s">
        <v>97</v>
      </c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</row>
    <row r="126" spans="1:45" hidden="1" outlineLevel="1" x14ac:dyDescent="0.35">
      <c r="A126" s="116" t="s">
        <v>98</v>
      </c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</row>
    <row r="127" spans="1:45" hidden="1" outlineLevel="1" x14ac:dyDescent="0.35">
      <c r="A127" s="116" t="s">
        <v>99</v>
      </c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</row>
    <row r="128" spans="1:45" hidden="1" outlineLevel="1" x14ac:dyDescent="0.35">
      <c r="A128" s="116" t="s">
        <v>100</v>
      </c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</row>
    <row r="129" spans="1:54" ht="29" hidden="1" outlineLevel="1" x14ac:dyDescent="0.35">
      <c r="A129" s="116" t="s">
        <v>101</v>
      </c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</row>
    <row r="130" spans="1:54" hidden="1" outlineLevel="1" x14ac:dyDescent="0.35">
      <c r="A130" s="116" t="s">
        <v>102</v>
      </c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</row>
    <row r="131" spans="1:54" hidden="1" outlineLevel="1" x14ac:dyDescent="0.35">
      <c r="A131" s="116" t="s">
        <v>103</v>
      </c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</row>
    <row r="132" spans="1:54" hidden="1" outlineLevel="1" x14ac:dyDescent="0.35">
      <c r="A132" s="116" t="s">
        <v>104</v>
      </c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</row>
    <row r="133" spans="1:54" hidden="1" outlineLevel="1" x14ac:dyDescent="0.35">
      <c r="A133" s="116" t="s">
        <v>95</v>
      </c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</row>
    <row r="135" spans="1:54" collapsed="1" x14ac:dyDescent="0.35">
      <c r="A135" s="163" t="s">
        <v>105</v>
      </c>
      <c r="C135" s="6">
        <f>SUM(C136:C139)</f>
        <v>0</v>
      </c>
      <c r="D135" s="6">
        <f t="shared" ref="D135:AM135" si="25">SUM(D136:D139)</f>
        <v>0</v>
      </c>
      <c r="E135" s="6">
        <f t="shared" si="25"/>
        <v>0</v>
      </c>
      <c r="F135" s="6">
        <f t="shared" si="25"/>
        <v>0</v>
      </c>
      <c r="G135" s="6">
        <f t="shared" si="25"/>
        <v>0</v>
      </c>
      <c r="H135" s="6">
        <f t="shared" si="25"/>
        <v>0</v>
      </c>
      <c r="I135" s="6">
        <f t="shared" si="25"/>
        <v>0</v>
      </c>
      <c r="J135" s="6">
        <f t="shared" si="25"/>
        <v>0</v>
      </c>
      <c r="K135" s="6">
        <f t="shared" si="25"/>
        <v>0</v>
      </c>
      <c r="L135" s="6">
        <f t="shared" si="25"/>
        <v>0</v>
      </c>
      <c r="M135" s="6">
        <f t="shared" si="25"/>
        <v>0</v>
      </c>
      <c r="N135" s="6">
        <f t="shared" si="25"/>
        <v>0</v>
      </c>
      <c r="O135" s="6">
        <f t="shared" si="25"/>
        <v>0</v>
      </c>
      <c r="P135" s="6">
        <f t="shared" si="25"/>
        <v>0</v>
      </c>
      <c r="Q135" s="6">
        <f t="shared" si="25"/>
        <v>0</v>
      </c>
      <c r="R135" s="6">
        <f t="shared" si="25"/>
        <v>0</v>
      </c>
      <c r="S135" s="6">
        <f t="shared" si="25"/>
        <v>0</v>
      </c>
      <c r="T135" s="6">
        <f t="shared" si="25"/>
        <v>0</v>
      </c>
      <c r="U135" s="6">
        <f t="shared" si="25"/>
        <v>0</v>
      </c>
      <c r="V135" s="6">
        <f t="shared" si="25"/>
        <v>0</v>
      </c>
      <c r="W135" s="6">
        <f t="shared" si="25"/>
        <v>0</v>
      </c>
      <c r="X135" s="6">
        <f t="shared" si="25"/>
        <v>0</v>
      </c>
      <c r="Y135" s="6">
        <f t="shared" si="25"/>
        <v>0</v>
      </c>
      <c r="Z135" s="6">
        <f t="shared" si="25"/>
        <v>0</v>
      </c>
      <c r="AA135" s="6">
        <f t="shared" si="25"/>
        <v>0</v>
      </c>
      <c r="AB135" s="6">
        <f t="shared" si="25"/>
        <v>0</v>
      </c>
      <c r="AC135" s="6">
        <f t="shared" si="25"/>
        <v>0</v>
      </c>
      <c r="AD135" s="6">
        <f t="shared" si="25"/>
        <v>0</v>
      </c>
      <c r="AE135" s="6">
        <f t="shared" si="25"/>
        <v>0</v>
      </c>
      <c r="AF135" s="6">
        <f t="shared" si="25"/>
        <v>0</v>
      </c>
      <c r="AG135" s="6">
        <f t="shared" si="25"/>
        <v>0</v>
      </c>
      <c r="AH135" s="6">
        <f t="shared" si="25"/>
        <v>0</v>
      </c>
      <c r="AI135" s="6">
        <f t="shared" si="25"/>
        <v>0</v>
      </c>
      <c r="AJ135" s="6">
        <f t="shared" si="25"/>
        <v>0</v>
      </c>
      <c r="AK135" s="6">
        <f t="shared" si="25"/>
        <v>0</v>
      </c>
      <c r="AL135" s="6">
        <f t="shared" si="25"/>
        <v>0</v>
      </c>
      <c r="AM135" s="6">
        <f t="shared" si="25"/>
        <v>0</v>
      </c>
      <c r="AP135">
        <f>SUM(C135:AM135)</f>
        <v>0</v>
      </c>
      <c r="AQ135" s="168">
        <v>60</v>
      </c>
      <c r="AR135" s="13">
        <f>AP135*AQ135</f>
        <v>0</v>
      </c>
      <c r="AS135" s="10">
        <f>(AP135/135)/$AS$2</f>
        <v>0</v>
      </c>
    </row>
    <row r="136" spans="1:54" ht="29" hidden="1" outlineLevel="1" x14ac:dyDescent="0.35">
      <c r="A136" s="116" t="s">
        <v>107</v>
      </c>
      <c r="AZ136" s="126"/>
      <c r="BA136" s="126"/>
      <c r="BB136" s="126"/>
    </row>
    <row r="137" spans="1:54" hidden="1" outlineLevel="1" x14ac:dyDescent="0.35">
      <c r="A137" s="116" t="s">
        <v>108</v>
      </c>
    </row>
    <row r="138" spans="1:54" hidden="1" outlineLevel="1" x14ac:dyDescent="0.35">
      <c r="A138" s="116" t="s">
        <v>109</v>
      </c>
    </row>
    <row r="139" spans="1:54" hidden="1" outlineLevel="1" x14ac:dyDescent="0.35">
      <c r="A139" s="116" t="s">
        <v>110</v>
      </c>
    </row>
    <row r="140" spans="1:54" x14ac:dyDescent="0.35">
      <c r="AY140" s="13"/>
      <c r="AZ140" s="126"/>
      <c r="BA140" s="126"/>
      <c r="BB140" s="126"/>
    </row>
    <row r="141" spans="1:54" collapsed="1" x14ac:dyDescent="0.35">
      <c r="A141" s="163" t="s">
        <v>431</v>
      </c>
      <c r="C141" s="6">
        <f>SUM(C142:C149)</f>
        <v>0</v>
      </c>
      <c r="D141" s="6">
        <f t="shared" ref="D141:AM141" si="26">SUM(D142:D149)</f>
        <v>0</v>
      </c>
      <c r="E141" s="6">
        <f t="shared" si="26"/>
        <v>0</v>
      </c>
      <c r="F141" s="6">
        <f t="shared" si="26"/>
        <v>0</v>
      </c>
      <c r="G141" s="6">
        <f t="shared" si="26"/>
        <v>0</v>
      </c>
      <c r="H141" s="6">
        <f t="shared" si="26"/>
        <v>0</v>
      </c>
      <c r="I141" s="6">
        <f t="shared" si="26"/>
        <v>0</v>
      </c>
      <c r="J141" s="6">
        <f t="shared" si="26"/>
        <v>0</v>
      </c>
      <c r="K141" s="6">
        <f t="shared" si="26"/>
        <v>0</v>
      </c>
      <c r="L141" s="6">
        <f t="shared" si="26"/>
        <v>0</v>
      </c>
      <c r="M141" s="6">
        <f t="shared" si="26"/>
        <v>0</v>
      </c>
      <c r="N141" s="6">
        <f>SUM(N142:N149)</f>
        <v>0</v>
      </c>
      <c r="O141" s="6">
        <f t="shared" ref="O141:P141" si="27">SUM(O142:O149)</f>
        <v>0</v>
      </c>
      <c r="P141" s="6">
        <f t="shared" si="27"/>
        <v>0</v>
      </c>
      <c r="Q141" s="6">
        <f t="shared" si="26"/>
        <v>0</v>
      </c>
      <c r="R141" s="6">
        <f t="shared" si="26"/>
        <v>0</v>
      </c>
      <c r="S141" s="6">
        <f t="shared" si="26"/>
        <v>0</v>
      </c>
      <c r="T141" s="6">
        <f t="shared" si="26"/>
        <v>0</v>
      </c>
      <c r="U141" s="6">
        <f t="shared" si="26"/>
        <v>0</v>
      </c>
      <c r="V141" s="6">
        <f t="shared" si="26"/>
        <v>0</v>
      </c>
      <c r="W141" s="6">
        <f t="shared" si="26"/>
        <v>0</v>
      </c>
      <c r="X141" s="6">
        <f t="shared" si="26"/>
        <v>0</v>
      </c>
      <c r="Y141" s="6">
        <f t="shared" si="26"/>
        <v>0</v>
      </c>
      <c r="Z141" s="6">
        <f t="shared" si="26"/>
        <v>0</v>
      </c>
      <c r="AA141" s="6">
        <f t="shared" si="26"/>
        <v>0</v>
      </c>
      <c r="AB141" s="6">
        <f t="shared" si="26"/>
        <v>0</v>
      </c>
      <c r="AC141" s="6">
        <f t="shared" si="26"/>
        <v>0</v>
      </c>
      <c r="AD141" s="6">
        <f t="shared" si="26"/>
        <v>0</v>
      </c>
      <c r="AE141" s="6">
        <f t="shared" si="26"/>
        <v>0</v>
      </c>
      <c r="AF141" s="6">
        <f t="shared" si="26"/>
        <v>0</v>
      </c>
      <c r="AG141" s="6">
        <f t="shared" si="26"/>
        <v>0</v>
      </c>
      <c r="AH141" s="6">
        <f t="shared" si="26"/>
        <v>0</v>
      </c>
      <c r="AI141" s="6">
        <f t="shared" si="26"/>
        <v>0</v>
      </c>
      <c r="AJ141" s="6">
        <f t="shared" si="26"/>
        <v>0</v>
      </c>
      <c r="AK141" s="6">
        <f t="shared" si="26"/>
        <v>0</v>
      </c>
      <c r="AL141" s="6">
        <f t="shared" si="26"/>
        <v>0</v>
      </c>
      <c r="AM141" s="6">
        <f t="shared" si="26"/>
        <v>0</v>
      </c>
      <c r="AP141">
        <f>SUM(C141:AM141)</f>
        <v>0</v>
      </c>
      <c r="AQ141" s="168">
        <f>725/7.45</f>
        <v>97.31543624161074</v>
      </c>
      <c r="AR141" s="13">
        <f>AP141*AQ141</f>
        <v>0</v>
      </c>
      <c r="AS141" s="10">
        <f>(AP141/135)/$AS$2</f>
        <v>0</v>
      </c>
      <c r="AW141" s="13"/>
      <c r="AX141" s="126"/>
      <c r="AY141" s="13"/>
      <c r="AZ141" s="13"/>
      <c r="BA141" s="13"/>
      <c r="BB141" s="13"/>
    </row>
    <row r="142" spans="1:54" hidden="1" outlineLevel="1" x14ac:dyDescent="0.35">
      <c r="A142" s="116" t="s">
        <v>112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Q142" s="15"/>
      <c r="AR142" s="13"/>
      <c r="AY142" s="13"/>
      <c r="AZ142" s="13"/>
      <c r="BA142" s="13"/>
      <c r="BB142" s="13"/>
    </row>
    <row r="143" spans="1:54" hidden="1" outlineLevel="1" x14ac:dyDescent="0.35">
      <c r="A143" s="116" t="s">
        <v>113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Q143" s="15"/>
      <c r="AR143" s="13"/>
      <c r="AY143" s="13"/>
      <c r="AZ143" s="13"/>
      <c r="BA143" s="13"/>
      <c r="BB143" s="13"/>
    </row>
    <row r="144" spans="1:54" hidden="1" outlineLevel="1" x14ac:dyDescent="0.35">
      <c r="A144" s="116" t="s">
        <v>114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Q144" s="15"/>
      <c r="AR144" s="13"/>
      <c r="AY144" s="13"/>
      <c r="AZ144" s="13"/>
      <c r="BA144" s="13"/>
      <c r="BB144" s="13"/>
    </row>
    <row r="145" spans="1:54" hidden="1" outlineLevel="1" x14ac:dyDescent="0.35">
      <c r="A145" s="116" t="s">
        <v>115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Q145" s="15"/>
      <c r="AR145" s="13"/>
      <c r="AY145" s="13"/>
      <c r="AZ145" s="13"/>
      <c r="BA145" s="13"/>
      <c r="BB145" s="13"/>
    </row>
    <row r="146" spans="1:54" hidden="1" outlineLevel="1" x14ac:dyDescent="0.35">
      <c r="A146" s="116" t="s">
        <v>116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Q146" s="15"/>
      <c r="AR146" s="13"/>
      <c r="AY146" s="13"/>
      <c r="AZ146" s="13"/>
      <c r="BA146" s="13"/>
      <c r="BB146" s="13"/>
    </row>
    <row r="147" spans="1:54" hidden="1" outlineLevel="1" x14ac:dyDescent="0.35">
      <c r="A147" s="116" t="s">
        <v>117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Q147" s="15"/>
      <c r="AR147" s="13"/>
      <c r="AY147" s="13"/>
      <c r="AZ147" s="13"/>
      <c r="BA147" s="13"/>
      <c r="BB147" s="13"/>
    </row>
    <row r="148" spans="1:54" hidden="1" outlineLevel="1" x14ac:dyDescent="0.35">
      <c r="A148" s="116" t="s">
        <v>118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Q148" s="15"/>
      <c r="AR148" s="13"/>
      <c r="AY148" s="13"/>
      <c r="AZ148" s="13"/>
      <c r="BA148" s="13"/>
      <c r="BB148" s="13"/>
    </row>
    <row r="149" spans="1:54" hidden="1" outlineLevel="1" x14ac:dyDescent="0.35">
      <c r="A149" s="116" t="s">
        <v>119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Q149" s="15"/>
      <c r="AR149" s="13"/>
      <c r="AY149" s="13"/>
      <c r="AZ149" s="13"/>
      <c r="BA149" s="13"/>
      <c r="BB149" s="13"/>
    </row>
    <row r="150" spans="1:54" x14ac:dyDescent="0.35">
      <c r="AQ150" s="15"/>
      <c r="AR150" s="13"/>
      <c r="AX150" s="126"/>
      <c r="AY150" s="13"/>
      <c r="AZ150" s="13"/>
      <c r="BA150" s="13"/>
      <c r="BB150" s="13"/>
    </row>
    <row r="151" spans="1:54" collapsed="1" x14ac:dyDescent="0.35">
      <c r="A151" s="166" t="s">
        <v>432</v>
      </c>
      <c r="C151" s="6">
        <f t="shared" ref="C151:AM151" si="28">SUM(C152:C159)</f>
        <v>0</v>
      </c>
      <c r="D151" s="6">
        <f t="shared" si="28"/>
        <v>0</v>
      </c>
      <c r="E151" s="6">
        <f t="shared" si="28"/>
        <v>0</v>
      </c>
      <c r="F151" s="6">
        <f t="shared" si="28"/>
        <v>0</v>
      </c>
      <c r="G151" s="6">
        <f t="shared" si="28"/>
        <v>0</v>
      </c>
      <c r="H151" s="6">
        <f t="shared" si="28"/>
        <v>0</v>
      </c>
      <c r="I151" s="6">
        <f t="shared" si="28"/>
        <v>0</v>
      </c>
      <c r="J151" s="6">
        <f t="shared" si="28"/>
        <v>0</v>
      </c>
      <c r="K151" s="6">
        <f t="shared" si="28"/>
        <v>0</v>
      </c>
      <c r="L151" s="6">
        <f t="shared" si="28"/>
        <v>0</v>
      </c>
      <c r="M151" s="6">
        <f t="shared" si="28"/>
        <v>0</v>
      </c>
      <c r="N151" s="6">
        <f t="shared" si="28"/>
        <v>0</v>
      </c>
      <c r="O151" s="6">
        <f t="shared" si="28"/>
        <v>0</v>
      </c>
      <c r="P151" s="6">
        <f t="shared" si="28"/>
        <v>0</v>
      </c>
      <c r="Q151" s="6">
        <f t="shared" si="28"/>
        <v>0</v>
      </c>
      <c r="R151" s="6">
        <f t="shared" si="28"/>
        <v>0</v>
      </c>
      <c r="S151" s="6">
        <f t="shared" si="28"/>
        <v>0</v>
      </c>
      <c r="T151" s="6">
        <f t="shared" si="28"/>
        <v>0</v>
      </c>
      <c r="U151" s="6">
        <f t="shared" si="28"/>
        <v>0</v>
      </c>
      <c r="V151" s="6">
        <f t="shared" si="28"/>
        <v>0</v>
      </c>
      <c r="W151" s="6">
        <f t="shared" si="28"/>
        <v>0</v>
      </c>
      <c r="X151" s="6">
        <f t="shared" si="28"/>
        <v>0</v>
      </c>
      <c r="Y151" s="6">
        <f t="shared" si="28"/>
        <v>0</v>
      </c>
      <c r="Z151" s="6">
        <f t="shared" si="28"/>
        <v>0</v>
      </c>
      <c r="AA151" s="6">
        <f t="shared" si="28"/>
        <v>0</v>
      </c>
      <c r="AB151" s="6">
        <f t="shared" si="28"/>
        <v>0</v>
      </c>
      <c r="AC151" s="6">
        <f t="shared" si="28"/>
        <v>0</v>
      </c>
      <c r="AD151" s="6">
        <f t="shared" si="28"/>
        <v>0</v>
      </c>
      <c r="AE151" s="6">
        <f t="shared" si="28"/>
        <v>0</v>
      </c>
      <c r="AF151" s="6">
        <f t="shared" si="28"/>
        <v>0</v>
      </c>
      <c r="AG151" s="6">
        <f t="shared" si="28"/>
        <v>0</v>
      </c>
      <c r="AH151" s="6">
        <f t="shared" si="28"/>
        <v>0</v>
      </c>
      <c r="AI151" s="6">
        <f t="shared" si="28"/>
        <v>0</v>
      </c>
      <c r="AJ151" s="6">
        <f t="shared" si="28"/>
        <v>0</v>
      </c>
      <c r="AK151" s="6">
        <f t="shared" si="28"/>
        <v>0</v>
      </c>
      <c r="AL151" s="6">
        <f t="shared" si="28"/>
        <v>0</v>
      </c>
      <c r="AM151" s="6">
        <f t="shared" si="28"/>
        <v>0</v>
      </c>
      <c r="AP151">
        <f>SUM(C151:AM151)</f>
        <v>0</v>
      </c>
      <c r="AQ151" s="168">
        <f>850/7.45</f>
        <v>114.09395973154362</v>
      </c>
      <c r="AR151" s="13">
        <f>AP151*AQ151</f>
        <v>0</v>
      </c>
      <c r="AS151" s="10">
        <f>(AP151/135)/$AS$2</f>
        <v>0</v>
      </c>
      <c r="AW151" s="13"/>
      <c r="AX151" s="126"/>
      <c r="AY151" s="13"/>
      <c r="AZ151" s="13"/>
      <c r="BA151" s="13"/>
      <c r="BB151" s="13"/>
    </row>
    <row r="152" spans="1:54" hidden="1" outlineLevel="1" x14ac:dyDescent="0.35">
      <c r="A152" s="116" t="s">
        <v>122</v>
      </c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Q152" s="15"/>
      <c r="AR152" s="13"/>
      <c r="AY152" s="13"/>
      <c r="AZ152" s="13"/>
    </row>
    <row r="153" spans="1:54" hidden="1" outlineLevel="1" x14ac:dyDescent="0.35">
      <c r="A153" s="116" t="s">
        <v>123</v>
      </c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Q153" s="15"/>
      <c r="AR153" s="13"/>
      <c r="AY153" s="13"/>
      <c r="AZ153" s="13"/>
    </row>
    <row r="154" spans="1:54" hidden="1" outlineLevel="1" x14ac:dyDescent="0.35">
      <c r="A154" s="116" t="s">
        <v>124</v>
      </c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Q154" s="15"/>
      <c r="AR154" s="13"/>
      <c r="AY154" s="13"/>
      <c r="AZ154" s="13"/>
    </row>
    <row r="155" spans="1:54" hidden="1" outlineLevel="1" x14ac:dyDescent="0.35">
      <c r="A155" s="116" t="s">
        <v>125</v>
      </c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Q155" s="15"/>
      <c r="AR155" s="13"/>
      <c r="AY155" s="13"/>
      <c r="AZ155" s="13"/>
    </row>
    <row r="156" spans="1:54" hidden="1" outlineLevel="1" x14ac:dyDescent="0.35">
      <c r="A156" s="116" t="s">
        <v>126</v>
      </c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Q156" s="15"/>
      <c r="AR156" s="13"/>
      <c r="AY156" s="13"/>
      <c r="AZ156" s="13"/>
    </row>
    <row r="157" spans="1:54" hidden="1" outlineLevel="1" x14ac:dyDescent="0.35">
      <c r="A157" s="116" t="s">
        <v>127</v>
      </c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Q157" s="15"/>
      <c r="AR157" s="13"/>
      <c r="AY157" s="13"/>
      <c r="AZ157" s="13"/>
    </row>
    <row r="158" spans="1:54" hidden="1" outlineLevel="1" x14ac:dyDescent="0.35">
      <c r="A158" s="116" t="s">
        <v>128</v>
      </c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Q158" s="15"/>
      <c r="AR158" s="13"/>
      <c r="AY158" s="13"/>
      <c r="AZ158" s="13"/>
    </row>
    <row r="159" spans="1:54" hidden="1" outlineLevel="1" x14ac:dyDescent="0.35">
      <c r="A159" s="117" t="s">
        <v>129</v>
      </c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Q159" s="15"/>
      <c r="AR159" s="13"/>
      <c r="AY159" s="13"/>
      <c r="AZ159" s="13"/>
    </row>
    <row r="160" spans="1:54" collapsed="1" x14ac:dyDescent="0.35">
      <c r="A160" s="118"/>
      <c r="AQ160" s="15"/>
      <c r="AR160" s="13"/>
      <c r="AY160" s="13"/>
    </row>
    <row r="161" spans="1:53" collapsed="1" x14ac:dyDescent="0.35">
      <c r="A161" s="166" t="s">
        <v>433</v>
      </c>
      <c r="C161" s="6">
        <f t="shared" ref="C161:AM161" si="29">SUM(C162:C169)</f>
        <v>0</v>
      </c>
      <c r="D161" s="6">
        <f t="shared" si="29"/>
        <v>0</v>
      </c>
      <c r="E161" s="6">
        <f t="shared" si="29"/>
        <v>0</v>
      </c>
      <c r="F161" s="6">
        <f t="shared" si="29"/>
        <v>0</v>
      </c>
      <c r="G161" s="6">
        <f t="shared" si="29"/>
        <v>0</v>
      </c>
      <c r="H161" s="6">
        <f t="shared" si="29"/>
        <v>0</v>
      </c>
      <c r="I161" s="6">
        <f t="shared" si="29"/>
        <v>0</v>
      </c>
      <c r="J161" s="6">
        <f t="shared" si="29"/>
        <v>0</v>
      </c>
      <c r="K161" s="6">
        <f t="shared" si="29"/>
        <v>0</v>
      </c>
      <c r="L161" s="6">
        <f t="shared" si="29"/>
        <v>0</v>
      </c>
      <c r="M161" s="6">
        <f t="shared" si="29"/>
        <v>0</v>
      </c>
      <c r="N161" s="6">
        <f t="shared" si="29"/>
        <v>0</v>
      </c>
      <c r="O161" s="6">
        <f t="shared" si="29"/>
        <v>0</v>
      </c>
      <c r="P161" s="6">
        <f t="shared" si="29"/>
        <v>0</v>
      </c>
      <c r="Q161" s="6">
        <f t="shared" si="29"/>
        <v>0</v>
      </c>
      <c r="R161" s="6">
        <f t="shared" si="29"/>
        <v>0</v>
      </c>
      <c r="S161" s="6">
        <f t="shared" si="29"/>
        <v>0</v>
      </c>
      <c r="T161" s="6">
        <f t="shared" si="29"/>
        <v>0</v>
      </c>
      <c r="U161" s="6">
        <f t="shared" si="29"/>
        <v>0</v>
      </c>
      <c r="V161" s="6">
        <f t="shared" si="29"/>
        <v>0</v>
      </c>
      <c r="W161" s="6">
        <f t="shared" si="29"/>
        <v>0</v>
      </c>
      <c r="X161" s="6">
        <f t="shared" si="29"/>
        <v>0</v>
      </c>
      <c r="Y161" s="6">
        <f t="shared" si="29"/>
        <v>0</v>
      </c>
      <c r="Z161" s="6">
        <f t="shared" si="29"/>
        <v>0</v>
      </c>
      <c r="AA161" s="6">
        <f t="shared" si="29"/>
        <v>0</v>
      </c>
      <c r="AB161" s="6">
        <f t="shared" si="29"/>
        <v>0</v>
      </c>
      <c r="AC161" s="6">
        <f t="shared" si="29"/>
        <v>0</v>
      </c>
      <c r="AD161" s="6">
        <f t="shared" si="29"/>
        <v>0</v>
      </c>
      <c r="AE161" s="6">
        <f t="shared" si="29"/>
        <v>0</v>
      </c>
      <c r="AF161" s="6">
        <f t="shared" si="29"/>
        <v>0</v>
      </c>
      <c r="AG161" s="6">
        <f t="shared" si="29"/>
        <v>0</v>
      </c>
      <c r="AH161" s="6">
        <f t="shared" si="29"/>
        <v>0</v>
      </c>
      <c r="AI161" s="6">
        <f t="shared" si="29"/>
        <v>0</v>
      </c>
      <c r="AJ161" s="6">
        <f t="shared" si="29"/>
        <v>0</v>
      </c>
      <c r="AK161" s="6">
        <f t="shared" si="29"/>
        <v>0</v>
      </c>
      <c r="AL161" s="6">
        <f t="shared" si="29"/>
        <v>0</v>
      </c>
      <c r="AM161" s="6">
        <f t="shared" si="29"/>
        <v>0</v>
      </c>
      <c r="AP161">
        <f>SUM(C161:AM161)</f>
        <v>0</v>
      </c>
      <c r="AQ161" s="168">
        <f>850/7.45</f>
        <v>114.09395973154362</v>
      </c>
      <c r="AR161" s="13">
        <f>AP161*AQ161</f>
        <v>0</v>
      </c>
      <c r="AS161" s="10">
        <f>(AP161/135)/$AS$2</f>
        <v>0</v>
      </c>
      <c r="AW161" s="13"/>
    </row>
    <row r="162" spans="1:53" hidden="1" outlineLevel="1" x14ac:dyDescent="0.35">
      <c r="A162" s="116" t="s">
        <v>131</v>
      </c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Q162" s="15"/>
      <c r="AR162" s="13"/>
    </row>
    <row r="163" spans="1:53" hidden="1" outlineLevel="1" x14ac:dyDescent="0.35">
      <c r="A163" s="116" t="s">
        <v>126</v>
      </c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Q163" s="15"/>
      <c r="AR163" s="13"/>
    </row>
    <row r="164" spans="1:53" hidden="1" outlineLevel="1" x14ac:dyDescent="0.35">
      <c r="A164" s="116" t="s">
        <v>132</v>
      </c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Q164" s="15"/>
      <c r="AR164" s="13"/>
    </row>
    <row r="165" spans="1:53" hidden="1" outlineLevel="1" x14ac:dyDescent="0.35">
      <c r="A165" s="116" t="s">
        <v>133</v>
      </c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Q165" s="15"/>
      <c r="AR165" s="13"/>
    </row>
    <row r="166" spans="1:53" hidden="1" outlineLevel="1" x14ac:dyDescent="0.35">
      <c r="A166" s="116" t="s">
        <v>134</v>
      </c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Q166" s="15"/>
      <c r="AR166" s="13"/>
    </row>
    <row r="167" spans="1:53" hidden="1" outlineLevel="1" x14ac:dyDescent="0.35">
      <c r="A167" s="116" t="s">
        <v>135</v>
      </c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Q167" s="15"/>
      <c r="AR167" s="13"/>
    </row>
    <row r="168" spans="1:53" hidden="1" outlineLevel="1" x14ac:dyDescent="0.35">
      <c r="A168" s="116" t="s">
        <v>136</v>
      </c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Q168" s="15"/>
      <c r="AR168" s="13"/>
    </row>
    <row r="169" spans="1:53" hidden="1" outlineLevel="1" x14ac:dyDescent="0.35">
      <c r="A169" s="116" t="s">
        <v>137</v>
      </c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0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Q169" s="15"/>
      <c r="AR169" s="13"/>
    </row>
    <row r="170" spans="1:53" collapsed="1" x14ac:dyDescent="0.35">
      <c r="AQ170" s="15"/>
      <c r="AR170" s="13"/>
      <c r="AY170" s="13"/>
    </row>
    <row r="171" spans="1:53" collapsed="1" x14ac:dyDescent="0.35">
      <c r="A171" s="163" t="s">
        <v>434</v>
      </c>
      <c r="C171" s="6">
        <f>SUM(C172:C176)</f>
        <v>0</v>
      </c>
      <c r="D171" s="6">
        <f t="shared" ref="D171:AM171" si="30">SUM(D172:D176)</f>
        <v>0</v>
      </c>
      <c r="E171" s="6">
        <f t="shared" si="30"/>
        <v>0</v>
      </c>
      <c r="F171" s="6">
        <f t="shared" si="30"/>
        <v>0</v>
      </c>
      <c r="G171" s="6">
        <f t="shared" si="30"/>
        <v>0</v>
      </c>
      <c r="H171" s="6">
        <f t="shared" si="30"/>
        <v>0</v>
      </c>
      <c r="I171" s="6">
        <f t="shared" si="30"/>
        <v>0</v>
      </c>
      <c r="J171" s="6">
        <f t="shared" si="30"/>
        <v>0</v>
      </c>
      <c r="K171" s="6">
        <f t="shared" si="30"/>
        <v>0</v>
      </c>
      <c r="L171" s="6">
        <f t="shared" si="30"/>
        <v>0</v>
      </c>
      <c r="M171" s="6">
        <f t="shared" si="30"/>
        <v>0</v>
      </c>
      <c r="N171" s="6">
        <f t="shared" si="30"/>
        <v>0</v>
      </c>
      <c r="O171" s="6">
        <f t="shared" si="30"/>
        <v>0</v>
      </c>
      <c r="P171" s="6">
        <f t="shared" si="30"/>
        <v>0</v>
      </c>
      <c r="Q171" s="6">
        <f t="shared" si="30"/>
        <v>0</v>
      </c>
      <c r="R171" s="6">
        <f t="shared" si="30"/>
        <v>0</v>
      </c>
      <c r="S171" s="6">
        <f t="shared" si="30"/>
        <v>0</v>
      </c>
      <c r="T171" s="6">
        <f t="shared" si="30"/>
        <v>0</v>
      </c>
      <c r="U171" s="6">
        <f t="shared" si="30"/>
        <v>0</v>
      </c>
      <c r="V171" s="6">
        <f t="shared" si="30"/>
        <v>0</v>
      </c>
      <c r="W171" s="6">
        <f t="shared" si="30"/>
        <v>0</v>
      </c>
      <c r="X171" s="6">
        <f t="shared" si="30"/>
        <v>0</v>
      </c>
      <c r="Y171" s="6">
        <f t="shared" si="30"/>
        <v>0</v>
      </c>
      <c r="Z171" s="6">
        <f t="shared" si="30"/>
        <v>0</v>
      </c>
      <c r="AA171" s="6">
        <f t="shared" si="30"/>
        <v>0</v>
      </c>
      <c r="AB171" s="6">
        <f t="shared" si="30"/>
        <v>0</v>
      </c>
      <c r="AC171" s="6">
        <f t="shared" si="30"/>
        <v>0</v>
      </c>
      <c r="AD171" s="6">
        <f t="shared" si="30"/>
        <v>0</v>
      </c>
      <c r="AE171" s="6">
        <f t="shared" si="30"/>
        <v>0</v>
      </c>
      <c r="AF171" s="6">
        <f t="shared" si="30"/>
        <v>0</v>
      </c>
      <c r="AG171" s="6">
        <f t="shared" si="30"/>
        <v>0</v>
      </c>
      <c r="AH171" s="6">
        <f t="shared" si="30"/>
        <v>0</v>
      </c>
      <c r="AI171" s="6">
        <f t="shared" si="30"/>
        <v>0</v>
      </c>
      <c r="AJ171" s="6">
        <f t="shared" si="30"/>
        <v>0</v>
      </c>
      <c r="AK171" s="6">
        <f t="shared" si="30"/>
        <v>0</v>
      </c>
      <c r="AL171" s="6">
        <f t="shared" si="30"/>
        <v>0</v>
      </c>
      <c r="AM171" s="6">
        <f t="shared" si="30"/>
        <v>0</v>
      </c>
      <c r="AP171">
        <f>SUM(C171:AM171)</f>
        <v>0</v>
      </c>
      <c r="AQ171" s="168">
        <f>575/7.45</f>
        <v>77.181208053691279</v>
      </c>
      <c r="AR171" s="13">
        <f>AP171*AQ171</f>
        <v>0</v>
      </c>
      <c r="AS171" s="10">
        <f>(AP171/135)/$AS$2</f>
        <v>0</v>
      </c>
      <c r="AW171" s="13"/>
      <c r="AZ171" s="126"/>
      <c r="BA171" s="126"/>
    </row>
    <row r="172" spans="1:53" hidden="1" outlineLevel="1" x14ac:dyDescent="0.35">
      <c r="A172" s="116" t="s">
        <v>139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Q172" s="15"/>
      <c r="AR172" s="13"/>
    </row>
    <row r="173" spans="1:53" hidden="1" outlineLevel="1" x14ac:dyDescent="0.35">
      <c r="A173" s="116" t="s">
        <v>140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Q173" s="15"/>
      <c r="AR173" s="13"/>
    </row>
    <row r="174" spans="1:53" hidden="1" outlineLevel="1" x14ac:dyDescent="0.35">
      <c r="A174" s="116" t="s">
        <v>141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Q174" s="15"/>
      <c r="AR174" s="13"/>
    </row>
    <row r="175" spans="1:53" hidden="1" outlineLevel="1" x14ac:dyDescent="0.35">
      <c r="A175" s="116" t="s">
        <v>142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Q175" s="15"/>
      <c r="AR175" s="13"/>
    </row>
    <row r="176" spans="1:53" hidden="1" outlineLevel="1" x14ac:dyDescent="0.35">
      <c r="A176" s="116" t="s">
        <v>143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Q176" s="15"/>
      <c r="AR176" s="13"/>
    </row>
    <row r="177" spans="1:53" collapsed="1" x14ac:dyDescent="0.35">
      <c r="AQ177" s="15"/>
      <c r="AR177" s="13"/>
      <c r="AX177" s="126"/>
      <c r="AY177" s="13"/>
      <c r="AZ177" s="13"/>
      <c r="BA177" s="13"/>
    </row>
    <row r="178" spans="1:53" collapsed="1" x14ac:dyDescent="0.35">
      <c r="A178" s="163" t="s">
        <v>144</v>
      </c>
      <c r="C178" s="6">
        <f t="shared" ref="C178:AM178" si="31">C179+C183</f>
        <v>0</v>
      </c>
      <c r="D178" s="6">
        <f t="shared" si="31"/>
        <v>0</v>
      </c>
      <c r="E178" s="6">
        <f t="shared" si="31"/>
        <v>0</v>
      </c>
      <c r="F178" s="6">
        <f t="shared" si="31"/>
        <v>0</v>
      </c>
      <c r="G178" s="6">
        <f t="shared" si="31"/>
        <v>0</v>
      </c>
      <c r="H178" s="6">
        <f t="shared" si="31"/>
        <v>0</v>
      </c>
      <c r="I178" s="6">
        <f t="shared" si="31"/>
        <v>0</v>
      </c>
      <c r="J178" s="6">
        <f t="shared" si="31"/>
        <v>0</v>
      </c>
      <c r="K178" s="6">
        <f t="shared" si="31"/>
        <v>0</v>
      </c>
      <c r="L178" s="6">
        <f t="shared" si="31"/>
        <v>0</v>
      </c>
      <c r="M178" s="6">
        <f t="shared" si="31"/>
        <v>0</v>
      </c>
      <c r="N178" s="6">
        <f t="shared" si="31"/>
        <v>0</v>
      </c>
      <c r="O178" s="6">
        <f t="shared" si="31"/>
        <v>0</v>
      </c>
      <c r="P178" s="6">
        <f t="shared" si="31"/>
        <v>0</v>
      </c>
      <c r="Q178" s="6">
        <f t="shared" si="31"/>
        <v>0</v>
      </c>
      <c r="R178" s="6">
        <f t="shared" si="31"/>
        <v>0</v>
      </c>
      <c r="S178" s="6">
        <f t="shared" si="31"/>
        <v>0</v>
      </c>
      <c r="T178" s="6">
        <f t="shared" si="31"/>
        <v>0</v>
      </c>
      <c r="U178" s="6">
        <f t="shared" si="31"/>
        <v>0</v>
      </c>
      <c r="V178" s="6">
        <f t="shared" si="31"/>
        <v>0</v>
      </c>
      <c r="W178" s="6">
        <f t="shared" si="31"/>
        <v>0</v>
      </c>
      <c r="X178" s="6">
        <f t="shared" si="31"/>
        <v>0</v>
      </c>
      <c r="Y178" s="6">
        <f t="shared" si="31"/>
        <v>0</v>
      </c>
      <c r="Z178" s="6">
        <f t="shared" si="31"/>
        <v>0</v>
      </c>
      <c r="AA178" s="6">
        <f t="shared" si="31"/>
        <v>0</v>
      </c>
      <c r="AB178" s="6">
        <f t="shared" si="31"/>
        <v>0</v>
      </c>
      <c r="AC178" s="6">
        <f t="shared" si="31"/>
        <v>0</v>
      </c>
      <c r="AD178" s="6">
        <f t="shared" si="31"/>
        <v>0</v>
      </c>
      <c r="AE178" s="6">
        <f t="shared" si="31"/>
        <v>0</v>
      </c>
      <c r="AF178" s="6">
        <f t="shared" si="31"/>
        <v>0</v>
      </c>
      <c r="AG178" s="6">
        <f t="shared" si="31"/>
        <v>0</v>
      </c>
      <c r="AH178" s="6">
        <f t="shared" si="31"/>
        <v>0</v>
      </c>
      <c r="AI178" s="6">
        <f t="shared" si="31"/>
        <v>0</v>
      </c>
      <c r="AJ178" s="6">
        <f t="shared" si="31"/>
        <v>0</v>
      </c>
      <c r="AK178" s="6">
        <f t="shared" si="31"/>
        <v>0</v>
      </c>
      <c r="AL178" s="6">
        <f t="shared" si="31"/>
        <v>0</v>
      </c>
      <c r="AM178" s="6">
        <f t="shared" si="31"/>
        <v>0</v>
      </c>
      <c r="AP178">
        <f>SUM(C178:AM178)</f>
        <v>0</v>
      </c>
      <c r="AQ178" s="168">
        <f>(800/7.45)</f>
        <v>107.38255033557047</v>
      </c>
      <c r="AR178" s="13">
        <f>AP178*AQ178</f>
        <v>0</v>
      </c>
      <c r="AS178" s="10">
        <f>(AP178/135)/$AS$2</f>
        <v>0</v>
      </c>
      <c r="AW178" s="13"/>
      <c r="AX178" s="126"/>
      <c r="AY178" s="13"/>
      <c r="AZ178" s="13"/>
      <c r="BA178" s="13"/>
    </row>
    <row r="179" spans="1:53" hidden="1" outlineLevel="1" collapsed="1" x14ac:dyDescent="0.35">
      <c r="A179" s="164" t="s">
        <v>145</v>
      </c>
      <c r="C179">
        <f t="shared" ref="C179:AM179" si="32">SUM(C180:C182)</f>
        <v>0</v>
      </c>
      <c r="D179">
        <f t="shared" si="32"/>
        <v>0</v>
      </c>
      <c r="E179">
        <f t="shared" si="32"/>
        <v>0</v>
      </c>
      <c r="F179">
        <f t="shared" si="32"/>
        <v>0</v>
      </c>
      <c r="G179">
        <f t="shared" si="32"/>
        <v>0</v>
      </c>
      <c r="H179">
        <f t="shared" si="32"/>
        <v>0</v>
      </c>
      <c r="I179">
        <f t="shared" si="32"/>
        <v>0</v>
      </c>
      <c r="J179">
        <f t="shared" si="32"/>
        <v>0</v>
      </c>
      <c r="K179">
        <f t="shared" si="32"/>
        <v>0</v>
      </c>
      <c r="L179">
        <f t="shared" si="32"/>
        <v>0</v>
      </c>
      <c r="M179">
        <f t="shared" si="32"/>
        <v>0</v>
      </c>
      <c r="N179">
        <f t="shared" si="32"/>
        <v>0</v>
      </c>
      <c r="O179">
        <f t="shared" si="32"/>
        <v>0</v>
      </c>
      <c r="P179">
        <f t="shared" si="32"/>
        <v>0</v>
      </c>
      <c r="Q179">
        <f t="shared" si="32"/>
        <v>0</v>
      </c>
      <c r="R179">
        <f t="shared" si="32"/>
        <v>0</v>
      </c>
      <c r="S179">
        <f t="shared" si="32"/>
        <v>0</v>
      </c>
      <c r="T179">
        <f t="shared" si="32"/>
        <v>0</v>
      </c>
      <c r="U179">
        <f t="shared" si="32"/>
        <v>0</v>
      </c>
      <c r="V179">
        <f t="shared" si="32"/>
        <v>0</v>
      </c>
      <c r="W179">
        <f t="shared" si="32"/>
        <v>0</v>
      </c>
      <c r="X179">
        <f t="shared" si="32"/>
        <v>0</v>
      </c>
      <c r="Y179">
        <f t="shared" si="32"/>
        <v>0</v>
      </c>
      <c r="Z179">
        <f t="shared" si="32"/>
        <v>0</v>
      </c>
      <c r="AA179">
        <f t="shared" si="32"/>
        <v>0</v>
      </c>
      <c r="AB179">
        <f t="shared" si="32"/>
        <v>0</v>
      </c>
      <c r="AC179">
        <f t="shared" si="32"/>
        <v>0</v>
      </c>
      <c r="AD179">
        <f t="shared" si="32"/>
        <v>0</v>
      </c>
      <c r="AE179">
        <f t="shared" si="32"/>
        <v>0</v>
      </c>
      <c r="AF179">
        <f t="shared" si="32"/>
        <v>0</v>
      </c>
      <c r="AG179">
        <f t="shared" si="32"/>
        <v>0</v>
      </c>
      <c r="AH179">
        <f t="shared" si="32"/>
        <v>0</v>
      </c>
      <c r="AI179">
        <f t="shared" si="32"/>
        <v>0</v>
      </c>
      <c r="AJ179">
        <f t="shared" si="32"/>
        <v>0</v>
      </c>
      <c r="AK179">
        <f t="shared" si="32"/>
        <v>0</v>
      </c>
      <c r="AL179">
        <f t="shared" si="32"/>
        <v>0</v>
      </c>
      <c r="AM179">
        <f t="shared" si="32"/>
        <v>0</v>
      </c>
      <c r="AO179">
        <f>SUM(C179:AM179)</f>
        <v>0</v>
      </c>
      <c r="AQ179" s="15"/>
      <c r="AR179" s="13"/>
    </row>
    <row r="180" spans="1:53" hidden="1" outlineLevel="2" x14ac:dyDescent="0.35">
      <c r="A180" s="5" t="s">
        <v>71</v>
      </c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Q180" s="15"/>
      <c r="AR180" s="13"/>
    </row>
    <row r="181" spans="1:53" hidden="1" outlineLevel="2" x14ac:dyDescent="0.35">
      <c r="A181" s="5" t="s">
        <v>146</v>
      </c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Q181" s="15"/>
      <c r="AR181" s="13"/>
      <c r="AW181" s="6"/>
      <c r="AX181" s="6"/>
      <c r="AY181" s="12"/>
    </row>
    <row r="182" spans="1:53" hidden="1" outlineLevel="2" x14ac:dyDescent="0.35">
      <c r="A182" s="5" t="s">
        <v>147</v>
      </c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Q182" s="15"/>
      <c r="AR182" s="13"/>
      <c r="AW182" s="6"/>
      <c r="AX182" s="6"/>
      <c r="AY182" s="12"/>
    </row>
    <row r="183" spans="1:53" hidden="1" outlineLevel="1" collapsed="1" x14ac:dyDescent="0.35">
      <c r="A183" s="164" t="s">
        <v>148</v>
      </c>
      <c r="C183">
        <f t="shared" ref="C183:AM183" si="33">SUM(C184:C186)</f>
        <v>0</v>
      </c>
      <c r="D183">
        <f t="shared" si="33"/>
        <v>0</v>
      </c>
      <c r="E183">
        <f t="shared" si="33"/>
        <v>0</v>
      </c>
      <c r="F183">
        <f t="shared" si="33"/>
        <v>0</v>
      </c>
      <c r="G183">
        <f t="shared" si="33"/>
        <v>0</v>
      </c>
      <c r="H183">
        <f t="shared" si="33"/>
        <v>0</v>
      </c>
      <c r="I183">
        <f t="shared" si="33"/>
        <v>0</v>
      </c>
      <c r="J183">
        <f t="shared" si="33"/>
        <v>0</v>
      </c>
      <c r="K183">
        <f t="shared" si="33"/>
        <v>0</v>
      </c>
      <c r="L183">
        <f t="shared" si="33"/>
        <v>0</v>
      </c>
      <c r="M183">
        <f t="shared" si="33"/>
        <v>0</v>
      </c>
      <c r="N183">
        <f t="shared" si="33"/>
        <v>0</v>
      </c>
      <c r="O183">
        <f t="shared" si="33"/>
        <v>0</v>
      </c>
      <c r="P183">
        <f t="shared" si="33"/>
        <v>0</v>
      </c>
      <c r="Q183">
        <f t="shared" si="33"/>
        <v>0</v>
      </c>
      <c r="R183">
        <f t="shared" si="33"/>
        <v>0</v>
      </c>
      <c r="S183">
        <f t="shared" si="33"/>
        <v>0</v>
      </c>
      <c r="T183">
        <f t="shared" si="33"/>
        <v>0</v>
      </c>
      <c r="U183">
        <f t="shared" si="33"/>
        <v>0</v>
      </c>
      <c r="V183">
        <f t="shared" si="33"/>
        <v>0</v>
      </c>
      <c r="W183">
        <f t="shared" si="33"/>
        <v>0</v>
      </c>
      <c r="X183">
        <f t="shared" si="33"/>
        <v>0</v>
      </c>
      <c r="Y183">
        <f t="shared" si="33"/>
        <v>0</v>
      </c>
      <c r="Z183">
        <f t="shared" si="33"/>
        <v>0</v>
      </c>
      <c r="AA183">
        <f t="shared" si="33"/>
        <v>0</v>
      </c>
      <c r="AB183">
        <f t="shared" si="33"/>
        <v>0</v>
      </c>
      <c r="AC183">
        <f t="shared" si="33"/>
        <v>0</v>
      </c>
      <c r="AD183">
        <f t="shared" si="33"/>
        <v>0</v>
      </c>
      <c r="AE183">
        <f t="shared" si="33"/>
        <v>0</v>
      </c>
      <c r="AF183">
        <f t="shared" si="33"/>
        <v>0</v>
      </c>
      <c r="AG183">
        <f t="shared" si="33"/>
        <v>0</v>
      </c>
      <c r="AH183">
        <f t="shared" si="33"/>
        <v>0</v>
      </c>
      <c r="AI183">
        <f t="shared" si="33"/>
        <v>0</v>
      </c>
      <c r="AJ183">
        <f t="shared" si="33"/>
        <v>0</v>
      </c>
      <c r="AK183">
        <f t="shared" si="33"/>
        <v>0</v>
      </c>
      <c r="AL183">
        <f t="shared" si="33"/>
        <v>0</v>
      </c>
      <c r="AM183">
        <f t="shared" si="33"/>
        <v>0</v>
      </c>
      <c r="AO183">
        <f>SUM(C183:AM183)</f>
        <v>0</v>
      </c>
      <c r="AQ183" s="15"/>
      <c r="AR183" s="13"/>
    </row>
    <row r="184" spans="1:53" hidden="1" outlineLevel="2" x14ac:dyDescent="0.35">
      <c r="A184" s="5" t="s">
        <v>71</v>
      </c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Q184" s="15"/>
      <c r="AR184" s="13"/>
      <c r="AW184" s="6"/>
      <c r="AX184" s="6"/>
      <c r="AY184" s="12"/>
    </row>
    <row r="185" spans="1:53" hidden="1" outlineLevel="2" x14ac:dyDescent="0.35">
      <c r="A185" s="5" t="s">
        <v>146</v>
      </c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Q185" s="15"/>
      <c r="AR185" s="13"/>
      <c r="AW185" s="6"/>
      <c r="AX185" s="6"/>
      <c r="AY185" s="12"/>
    </row>
    <row r="186" spans="1:53" hidden="1" outlineLevel="2" x14ac:dyDescent="0.35">
      <c r="A186" s="5" t="s">
        <v>147</v>
      </c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Q186" s="15"/>
      <c r="AR186" s="13"/>
    </row>
    <row r="187" spans="1:53" x14ac:dyDescent="0.35">
      <c r="AQ187" s="15"/>
      <c r="AR187" s="13"/>
    </row>
    <row r="188" spans="1:53" collapsed="1" x14ac:dyDescent="0.35">
      <c r="A188" s="163" t="s">
        <v>435</v>
      </c>
      <c r="C188" s="6">
        <f t="shared" ref="C188:AM188" si="34">C189+C193</f>
        <v>0</v>
      </c>
      <c r="D188" s="6">
        <f t="shared" si="34"/>
        <v>0</v>
      </c>
      <c r="E188" s="6">
        <f t="shared" si="34"/>
        <v>0</v>
      </c>
      <c r="F188" s="6">
        <f t="shared" si="34"/>
        <v>0</v>
      </c>
      <c r="G188" s="6">
        <f t="shared" si="34"/>
        <v>0</v>
      </c>
      <c r="H188" s="6">
        <f t="shared" si="34"/>
        <v>0</v>
      </c>
      <c r="I188" s="6">
        <f t="shared" si="34"/>
        <v>0</v>
      </c>
      <c r="J188" s="6">
        <f t="shared" si="34"/>
        <v>0</v>
      </c>
      <c r="K188" s="6">
        <f t="shared" si="34"/>
        <v>0</v>
      </c>
      <c r="L188" s="6">
        <f t="shared" si="34"/>
        <v>0</v>
      </c>
      <c r="M188" s="6">
        <f t="shared" si="34"/>
        <v>0</v>
      </c>
      <c r="N188" s="6">
        <f t="shared" si="34"/>
        <v>0</v>
      </c>
      <c r="O188" s="6">
        <f t="shared" si="34"/>
        <v>0</v>
      </c>
      <c r="P188" s="6">
        <f t="shared" si="34"/>
        <v>0</v>
      </c>
      <c r="Q188" s="6">
        <f t="shared" si="34"/>
        <v>0</v>
      </c>
      <c r="R188" s="6">
        <f t="shared" si="34"/>
        <v>0</v>
      </c>
      <c r="S188" s="6">
        <f t="shared" si="34"/>
        <v>0</v>
      </c>
      <c r="T188" s="6">
        <f t="shared" si="34"/>
        <v>0</v>
      </c>
      <c r="U188" s="6">
        <f t="shared" si="34"/>
        <v>0</v>
      </c>
      <c r="V188" s="6">
        <f t="shared" si="34"/>
        <v>0</v>
      </c>
      <c r="W188" s="6">
        <f t="shared" si="34"/>
        <v>0</v>
      </c>
      <c r="X188" s="6">
        <f t="shared" si="34"/>
        <v>0</v>
      </c>
      <c r="Y188" s="6">
        <f t="shared" si="34"/>
        <v>0</v>
      </c>
      <c r="Z188" s="6">
        <f t="shared" si="34"/>
        <v>0</v>
      </c>
      <c r="AA188" s="6">
        <f t="shared" si="34"/>
        <v>0</v>
      </c>
      <c r="AB188" s="6">
        <f t="shared" si="34"/>
        <v>0</v>
      </c>
      <c r="AC188" s="6">
        <f t="shared" si="34"/>
        <v>0</v>
      </c>
      <c r="AD188" s="6">
        <f t="shared" si="34"/>
        <v>0</v>
      </c>
      <c r="AE188" s="6">
        <f t="shared" si="34"/>
        <v>0</v>
      </c>
      <c r="AF188" s="6">
        <f t="shared" si="34"/>
        <v>0</v>
      </c>
      <c r="AG188" s="6">
        <f t="shared" si="34"/>
        <v>0</v>
      </c>
      <c r="AH188" s="6">
        <f t="shared" si="34"/>
        <v>0</v>
      </c>
      <c r="AI188" s="6">
        <f t="shared" si="34"/>
        <v>0</v>
      </c>
      <c r="AJ188" s="6">
        <f t="shared" si="34"/>
        <v>0</v>
      </c>
      <c r="AK188" s="6">
        <f t="shared" si="34"/>
        <v>0</v>
      </c>
      <c r="AL188" s="6">
        <f t="shared" si="34"/>
        <v>0</v>
      </c>
      <c r="AM188" s="6">
        <f t="shared" si="34"/>
        <v>0</v>
      </c>
      <c r="AP188">
        <f>SUM(C188:AM188)</f>
        <v>0</v>
      </c>
      <c r="AQ188" s="168">
        <v>60</v>
      </c>
      <c r="AR188" s="13">
        <f>AP188*AQ188</f>
        <v>0</v>
      </c>
      <c r="AS188" s="10">
        <f>(AP188/135)/$AS$2</f>
        <v>0</v>
      </c>
    </row>
    <row r="189" spans="1:53" hidden="1" outlineLevel="1" collapsed="1" x14ac:dyDescent="0.35">
      <c r="A189" s="164" t="s">
        <v>145</v>
      </c>
      <c r="C189">
        <f t="shared" ref="C189:AM189" si="35">SUM(C190:C192)</f>
        <v>0</v>
      </c>
      <c r="D189">
        <f t="shared" si="35"/>
        <v>0</v>
      </c>
      <c r="E189">
        <f t="shared" si="35"/>
        <v>0</v>
      </c>
      <c r="F189">
        <f t="shared" si="35"/>
        <v>0</v>
      </c>
      <c r="G189">
        <f t="shared" si="35"/>
        <v>0</v>
      </c>
      <c r="H189">
        <f t="shared" si="35"/>
        <v>0</v>
      </c>
      <c r="I189">
        <f t="shared" si="35"/>
        <v>0</v>
      </c>
      <c r="J189">
        <f t="shared" si="35"/>
        <v>0</v>
      </c>
      <c r="K189">
        <f t="shared" si="35"/>
        <v>0</v>
      </c>
      <c r="L189">
        <f t="shared" si="35"/>
        <v>0</v>
      </c>
      <c r="M189">
        <f t="shared" si="35"/>
        <v>0</v>
      </c>
      <c r="N189">
        <f t="shared" si="35"/>
        <v>0</v>
      </c>
      <c r="O189">
        <f t="shared" si="35"/>
        <v>0</v>
      </c>
      <c r="P189">
        <f t="shared" si="35"/>
        <v>0</v>
      </c>
      <c r="Q189">
        <f t="shared" si="35"/>
        <v>0</v>
      </c>
      <c r="R189">
        <f t="shared" si="35"/>
        <v>0</v>
      </c>
      <c r="S189">
        <f t="shared" si="35"/>
        <v>0</v>
      </c>
      <c r="T189">
        <f t="shared" si="35"/>
        <v>0</v>
      </c>
      <c r="U189">
        <f t="shared" si="35"/>
        <v>0</v>
      </c>
      <c r="V189">
        <f t="shared" si="35"/>
        <v>0</v>
      </c>
      <c r="W189">
        <f t="shared" si="35"/>
        <v>0</v>
      </c>
      <c r="X189">
        <f t="shared" si="35"/>
        <v>0</v>
      </c>
      <c r="Y189">
        <f t="shared" si="35"/>
        <v>0</v>
      </c>
      <c r="Z189">
        <f t="shared" si="35"/>
        <v>0</v>
      </c>
      <c r="AA189">
        <f t="shared" si="35"/>
        <v>0</v>
      </c>
      <c r="AB189">
        <f t="shared" si="35"/>
        <v>0</v>
      </c>
      <c r="AC189">
        <f t="shared" si="35"/>
        <v>0</v>
      </c>
      <c r="AD189">
        <f t="shared" si="35"/>
        <v>0</v>
      </c>
      <c r="AE189">
        <f t="shared" si="35"/>
        <v>0</v>
      </c>
      <c r="AF189">
        <f t="shared" si="35"/>
        <v>0</v>
      </c>
      <c r="AG189">
        <f t="shared" si="35"/>
        <v>0</v>
      </c>
      <c r="AH189">
        <f t="shared" si="35"/>
        <v>0</v>
      </c>
      <c r="AI189">
        <f t="shared" si="35"/>
        <v>0</v>
      </c>
      <c r="AJ189">
        <f t="shared" si="35"/>
        <v>0</v>
      </c>
      <c r="AK189">
        <f t="shared" si="35"/>
        <v>0</v>
      </c>
      <c r="AL189">
        <f t="shared" si="35"/>
        <v>0</v>
      </c>
      <c r="AM189">
        <f t="shared" si="35"/>
        <v>0</v>
      </c>
      <c r="AO189">
        <f>SUM(C189:AM189)</f>
        <v>0</v>
      </c>
      <c r="AQ189" s="15"/>
      <c r="AR189" s="13"/>
    </row>
    <row r="190" spans="1:53" hidden="1" outlineLevel="2" x14ac:dyDescent="0.35">
      <c r="A190" s="5" t="s">
        <v>71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Q190" s="15"/>
      <c r="AR190" s="13"/>
    </row>
    <row r="191" spans="1:53" hidden="1" outlineLevel="2" x14ac:dyDescent="0.35">
      <c r="A191" s="5" t="s">
        <v>146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Q191" s="15"/>
      <c r="AR191" s="13"/>
      <c r="AW191" s="6"/>
      <c r="AX191" s="6"/>
      <c r="AY191" s="12"/>
    </row>
    <row r="192" spans="1:53" hidden="1" outlineLevel="2" x14ac:dyDescent="0.35">
      <c r="A192" s="5" t="s">
        <v>147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Q192" s="15"/>
      <c r="AR192" s="13"/>
      <c r="AW192" s="6"/>
      <c r="AX192" s="6"/>
      <c r="AY192" s="12"/>
    </row>
    <row r="193" spans="1:51" hidden="1" outlineLevel="1" collapsed="1" x14ac:dyDescent="0.35">
      <c r="A193" s="164" t="s">
        <v>148</v>
      </c>
      <c r="C193">
        <f t="shared" ref="C193:AM193" si="36">SUM(C194:C196)</f>
        <v>0</v>
      </c>
      <c r="D193">
        <f t="shared" si="36"/>
        <v>0</v>
      </c>
      <c r="E193">
        <f t="shared" si="36"/>
        <v>0</v>
      </c>
      <c r="F193">
        <f t="shared" si="36"/>
        <v>0</v>
      </c>
      <c r="G193">
        <f t="shared" si="36"/>
        <v>0</v>
      </c>
      <c r="H193">
        <f t="shared" si="36"/>
        <v>0</v>
      </c>
      <c r="I193">
        <f t="shared" si="36"/>
        <v>0</v>
      </c>
      <c r="J193">
        <f t="shared" si="36"/>
        <v>0</v>
      </c>
      <c r="K193">
        <f t="shared" si="36"/>
        <v>0</v>
      </c>
      <c r="L193">
        <f t="shared" si="36"/>
        <v>0</v>
      </c>
      <c r="M193">
        <f t="shared" si="36"/>
        <v>0</v>
      </c>
      <c r="N193">
        <f t="shared" si="36"/>
        <v>0</v>
      </c>
      <c r="O193">
        <f t="shared" si="36"/>
        <v>0</v>
      </c>
      <c r="P193">
        <f t="shared" si="36"/>
        <v>0</v>
      </c>
      <c r="Q193">
        <f t="shared" si="36"/>
        <v>0</v>
      </c>
      <c r="R193">
        <f t="shared" si="36"/>
        <v>0</v>
      </c>
      <c r="S193">
        <f t="shared" si="36"/>
        <v>0</v>
      </c>
      <c r="T193">
        <f t="shared" si="36"/>
        <v>0</v>
      </c>
      <c r="U193">
        <f t="shared" si="36"/>
        <v>0</v>
      </c>
      <c r="V193">
        <f t="shared" si="36"/>
        <v>0</v>
      </c>
      <c r="W193">
        <f t="shared" si="36"/>
        <v>0</v>
      </c>
      <c r="X193">
        <f t="shared" si="36"/>
        <v>0</v>
      </c>
      <c r="Y193">
        <f t="shared" si="36"/>
        <v>0</v>
      </c>
      <c r="Z193">
        <f t="shared" si="36"/>
        <v>0</v>
      </c>
      <c r="AA193">
        <f t="shared" si="36"/>
        <v>0</v>
      </c>
      <c r="AB193">
        <f t="shared" si="36"/>
        <v>0</v>
      </c>
      <c r="AC193">
        <f t="shared" si="36"/>
        <v>0</v>
      </c>
      <c r="AD193">
        <f t="shared" si="36"/>
        <v>0</v>
      </c>
      <c r="AE193">
        <f t="shared" si="36"/>
        <v>0</v>
      </c>
      <c r="AF193">
        <f t="shared" si="36"/>
        <v>0</v>
      </c>
      <c r="AG193">
        <f t="shared" si="36"/>
        <v>0</v>
      </c>
      <c r="AH193">
        <f t="shared" si="36"/>
        <v>0</v>
      </c>
      <c r="AI193">
        <f t="shared" si="36"/>
        <v>0</v>
      </c>
      <c r="AJ193">
        <f t="shared" si="36"/>
        <v>0</v>
      </c>
      <c r="AK193">
        <f t="shared" si="36"/>
        <v>0</v>
      </c>
      <c r="AL193">
        <f t="shared" si="36"/>
        <v>0</v>
      </c>
      <c r="AM193">
        <f t="shared" si="36"/>
        <v>0</v>
      </c>
      <c r="AO193">
        <f>SUM(C193:AM193)</f>
        <v>0</v>
      </c>
      <c r="AQ193" s="15"/>
      <c r="AR193" s="13"/>
    </row>
    <row r="194" spans="1:51" hidden="1" outlineLevel="2" x14ac:dyDescent="0.35">
      <c r="A194" s="5" t="s">
        <v>71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Q194" s="15"/>
      <c r="AR194" s="13"/>
      <c r="AW194" s="6"/>
      <c r="AX194" s="6"/>
      <c r="AY194" s="12"/>
    </row>
    <row r="195" spans="1:51" hidden="1" outlineLevel="2" x14ac:dyDescent="0.35">
      <c r="A195" s="5" t="s">
        <v>146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Q195" s="15"/>
      <c r="AR195" s="13"/>
      <c r="AW195" s="6"/>
      <c r="AX195" s="6"/>
      <c r="AY195" s="12"/>
    </row>
    <row r="196" spans="1:51" hidden="1" outlineLevel="2" x14ac:dyDescent="0.35">
      <c r="A196" s="5" t="s">
        <v>147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Q196" s="15"/>
      <c r="AR196" s="13"/>
    </row>
    <row r="197" spans="1:51" x14ac:dyDescent="0.35">
      <c r="AQ197" s="15"/>
      <c r="AR197" s="13"/>
    </row>
    <row r="198" spans="1:51" collapsed="1" x14ac:dyDescent="0.35">
      <c r="A198" s="163" t="s">
        <v>149</v>
      </c>
      <c r="C198" s="6">
        <f>C199+C200+C201+C202+C208+C214+C219+C224+C229+C234</f>
        <v>0</v>
      </c>
      <c r="D198" s="6">
        <f t="shared" ref="D198:AM198" si="37">SUM(D199:D201)+D202+D208</f>
        <v>0</v>
      </c>
      <c r="E198" s="6">
        <f t="shared" si="37"/>
        <v>0</v>
      </c>
      <c r="F198" s="6">
        <f t="shared" si="37"/>
        <v>0</v>
      </c>
      <c r="G198" s="6">
        <f t="shared" si="37"/>
        <v>0</v>
      </c>
      <c r="H198" s="6">
        <f t="shared" si="37"/>
        <v>0</v>
      </c>
      <c r="I198" s="6">
        <f t="shared" si="37"/>
        <v>0</v>
      </c>
      <c r="J198" s="6">
        <f t="shared" si="37"/>
        <v>0</v>
      </c>
      <c r="K198" s="6">
        <f t="shared" si="37"/>
        <v>0</v>
      </c>
      <c r="L198" s="6">
        <f t="shared" si="37"/>
        <v>0</v>
      </c>
      <c r="M198" s="6">
        <f t="shared" si="37"/>
        <v>0</v>
      </c>
      <c r="N198" s="6">
        <f t="shared" si="37"/>
        <v>0</v>
      </c>
      <c r="O198" s="6">
        <f t="shared" si="37"/>
        <v>0</v>
      </c>
      <c r="P198" s="6">
        <f t="shared" si="37"/>
        <v>0</v>
      </c>
      <c r="Q198" s="6">
        <f t="shared" si="37"/>
        <v>0</v>
      </c>
      <c r="R198" s="6">
        <f t="shared" si="37"/>
        <v>0</v>
      </c>
      <c r="S198" s="6">
        <f t="shared" si="37"/>
        <v>0</v>
      </c>
      <c r="T198" s="6">
        <f t="shared" si="37"/>
        <v>0</v>
      </c>
      <c r="U198" s="6">
        <f t="shared" si="37"/>
        <v>0</v>
      </c>
      <c r="V198" s="6">
        <f t="shared" si="37"/>
        <v>0</v>
      </c>
      <c r="W198" s="6">
        <f t="shared" si="37"/>
        <v>0</v>
      </c>
      <c r="X198" s="6">
        <f t="shared" si="37"/>
        <v>0</v>
      </c>
      <c r="Y198" s="6">
        <f t="shared" si="37"/>
        <v>0</v>
      </c>
      <c r="Z198" s="6">
        <f t="shared" si="37"/>
        <v>0</v>
      </c>
      <c r="AA198" s="6">
        <f t="shared" si="37"/>
        <v>0</v>
      </c>
      <c r="AB198" s="6">
        <f t="shared" si="37"/>
        <v>0</v>
      </c>
      <c r="AC198" s="6">
        <f t="shared" si="37"/>
        <v>0</v>
      </c>
      <c r="AD198" s="6">
        <f t="shared" si="37"/>
        <v>0</v>
      </c>
      <c r="AE198" s="6">
        <f t="shared" si="37"/>
        <v>0</v>
      </c>
      <c r="AF198" s="6">
        <f t="shared" si="37"/>
        <v>0</v>
      </c>
      <c r="AG198" s="6">
        <f t="shared" si="37"/>
        <v>0</v>
      </c>
      <c r="AH198" s="6">
        <f t="shared" si="37"/>
        <v>0</v>
      </c>
      <c r="AI198" s="6">
        <f t="shared" si="37"/>
        <v>0</v>
      </c>
      <c r="AJ198" s="6">
        <f t="shared" si="37"/>
        <v>0</v>
      </c>
      <c r="AK198" s="6">
        <f t="shared" si="37"/>
        <v>0</v>
      </c>
      <c r="AL198" s="6">
        <f t="shared" si="37"/>
        <v>0</v>
      </c>
      <c r="AM198" s="6">
        <f t="shared" si="37"/>
        <v>0</v>
      </c>
      <c r="AP198">
        <f>SUM(C198:AM198)</f>
        <v>0</v>
      </c>
      <c r="AQ198" s="168">
        <f>650/7.45</f>
        <v>87.24832214765101</v>
      </c>
      <c r="AR198" s="13">
        <f>AP198*AQ198</f>
        <v>0</v>
      </c>
      <c r="AS198" s="10">
        <f>(AP198/135)/$AS$2</f>
        <v>0</v>
      </c>
      <c r="AY198" s="13"/>
    </row>
    <row r="199" spans="1:51" hidden="1" outlineLevel="1" x14ac:dyDescent="0.35">
      <c r="A199" s="164" t="s">
        <v>150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Q199" s="15"/>
      <c r="AR199" s="13"/>
      <c r="AS199" s="10"/>
    </row>
    <row r="200" spans="1:51" hidden="1" outlineLevel="1" x14ac:dyDescent="0.35">
      <c r="A200" s="164" t="s">
        <v>151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Q200" s="15"/>
      <c r="AR200" s="13"/>
      <c r="AS200" s="10"/>
    </row>
    <row r="201" spans="1:51" hidden="1" outlineLevel="1" x14ac:dyDescent="0.35">
      <c r="A201" s="164" t="s">
        <v>152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Q201" s="15"/>
      <c r="AR201" s="13"/>
      <c r="AS201" s="10"/>
    </row>
    <row r="202" spans="1:51" hidden="1" outlineLevel="1" collapsed="1" x14ac:dyDescent="0.35">
      <c r="A202" s="164" t="s">
        <v>69</v>
      </c>
      <c r="C202">
        <f t="shared" ref="C202:AM202" si="38">SUM(C203:C207)</f>
        <v>0</v>
      </c>
      <c r="D202">
        <f t="shared" si="38"/>
        <v>0</v>
      </c>
      <c r="E202">
        <f t="shared" si="38"/>
        <v>0</v>
      </c>
      <c r="F202">
        <f t="shared" si="38"/>
        <v>0</v>
      </c>
      <c r="G202">
        <f t="shared" si="38"/>
        <v>0</v>
      </c>
      <c r="H202">
        <f t="shared" si="38"/>
        <v>0</v>
      </c>
      <c r="I202">
        <f t="shared" si="38"/>
        <v>0</v>
      </c>
      <c r="J202">
        <f t="shared" si="38"/>
        <v>0</v>
      </c>
      <c r="K202">
        <f t="shared" si="38"/>
        <v>0</v>
      </c>
      <c r="L202">
        <f t="shared" si="38"/>
        <v>0</v>
      </c>
      <c r="M202">
        <f t="shared" si="38"/>
        <v>0</v>
      </c>
      <c r="N202">
        <f t="shared" si="38"/>
        <v>0</v>
      </c>
      <c r="O202">
        <f t="shared" si="38"/>
        <v>0</v>
      </c>
      <c r="P202">
        <f t="shared" si="38"/>
        <v>0</v>
      </c>
      <c r="Q202">
        <f t="shared" si="38"/>
        <v>0</v>
      </c>
      <c r="R202">
        <f t="shared" si="38"/>
        <v>0</v>
      </c>
      <c r="S202">
        <f t="shared" si="38"/>
        <v>0</v>
      </c>
      <c r="T202">
        <f t="shared" si="38"/>
        <v>0</v>
      </c>
      <c r="U202">
        <f t="shared" si="38"/>
        <v>0</v>
      </c>
      <c r="V202">
        <f t="shared" si="38"/>
        <v>0</v>
      </c>
      <c r="W202">
        <f t="shared" si="38"/>
        <v>0</v>
      </c>
      <c r="X202">
        <f t="shared" si="38"/>
        <v>0</v>
      </c>
      <c r="Y202">
        <f t="shared" si="38"/>
        <v>0</v>
      </c>
      <c r="Z202">
        <f t="shared" si="38"/>
        <v>0</v>
      </c>
      <c r="AA202">
        <f t="shared" si="38"/>
        <v>0</v>
      </c>
      <c r="AB202">
        <f t="shared" si="38"/>
        <v>0</v>
      </c>
      <c r="AC202">
        <f t="shared" si="38"/>
        <v>0</v>
      </c>
      <c r="AD202">
        <f t="shared" si="38"/>
        <v>0</v>
      </c>
      <c r="AE202">
        <f t="shared" si="38"/>
        <v>0</v>
      </c>
      <c r="AF202">
        <f t="shared" si="38"/>
        <v>0</v>
      </c>
      <c r="AG202">
        <f t="shared" si="38"/>
        <v>0</v>
      </c>
      <c r="AH202">
        <f t="shared" si="38"/>
        <v>0</v>
      </c>
      <c r="AI202">
        <f t="shared" si="38"/>
        <v>0</v>
      </c>
      <c r="AJ202">
        <f t="shared" si="38"/>
        <v>0</v>
      </c>
      <c r="AK202">
        <f t="shared" si="38"/>
        <v>0</v>
      </c>
      <c r="AL202">
        <f t="shared" si="38"/>
        <v>0</v>
      </c>
      <c r="AM202">
        <f t="shared" si="38"/>
        <v>0</v>
      </c>
      <c r="AN202">
        <f>SUM(C202:AM202)</f>
        <v>0</v>
      </c>
      <c r="AQ202" s="15"/>
      <c r="AR202" s="13"/>
      <c r="AS202" s="10"/>
    </row>
    <row r="203" spans="1:51" hidden="1" outlineLevel="2" x14ac:dyDescent="0.35">
      <c r="A203" s="5" t="s">
        <v>70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Q203" s="15"/>
      <c r="AR203" s="13"/>
      <c r="AS203" s="10"/>
    </row>
    <row r="204" spans="1:51" hidden="1" outlineLevel="2" x14ac:dyDescent="0.35">
      <c r="A204" s="5" t="s">
        <v>71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Q204" s="15"/>
      <c r="AR204" s="13"/>
      <c r="AS204" s="10"/>
    </row>
    <row r="205" spans="1:51" hidden="1" outlineLevel="2" x14ac:dyDescent="0.35">
      <c r="A205" s="5" t="s">
        <v>74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Q205" s="15"/>
      <c r="AR205" s="13"/>
      <c r="AS205" s="10"/>
    </row>
    <row r="206" spans="1:51" hidden="1" outlineLevel="2" x14ac:dyDescent="0.35">
      <c r="A206" s="5" t="s">
        <v>75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Q206" s="15"/>
      <c r="AR206" s="13"/>
      <c r="AS206" s="10"/>
    </row>
    <row r="207" spans="1:51" hidden="1" outlineLevel="2" x14ac:dyDescent="0.35">
      <c r="A207" s="5" t="s">
        <v>153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Q207" s="15"/>
      <c r="AR207" s="13"/>
      <c r="AS207" s="10"/>
    </row>
    <row r="208" spans="1:51" hidden="1" outlineLevel="1" collapsed="1" x14ac:dyDescent="0.35">
      <c r="A208" s="164" t="s">
        <v>77</v>
      </c>
      <c r="C208">
        <f t="shared" ref="C208:AM208" si="39">SUM(C209:C213)</f>
        <v>0</v>
      </c>
      <c r="D208">
        <f t="shared" si="39"/>
        <v>0</v>
      </c>
      <c r="E208">
        <f t="shared" si="39"/>
        <v>0</v>
      </c>
      <c r="F208">
        <f t="shared" si="39"/>
        <v>0</v>
      </c>
      <c r="G208">
        <f t="shared" si="39"/>
        <v>0</v>
      </c>
      <c r="H208">
        <f t="shared" si="39"/>
        <v>0</v>
      </c>
      <c r="I208">
        <f t="shared" si="39"/>
        <v>0</v>
      </c>
      <c r="J208">
        <f t="shared" si="39"/>
        <v>0</v>
      </c>
      <c r="K208">
        <f t="shared" si="39"/>
        <v>0</v>
      </c>
      <c r="L208">
        <f t="shared" si="39"/>
        <v>0</v>
      </c>
      <c r="M208">
        <f t="shared" si="39"/>
        <v>0</v>
      </c>
      <c r="N208">
        <f t="shared" si="39"/>
        <v>0</v>
      </c>
      <c r="O208">
        <f t="shared" si="39"/>
        <v>0</v>
      </c>
      <c r="P208">
        <f t="shared" si="39"/>
        <v>0</v>
      </c>
      <c r="Q208">
        <f t="shared" si="39"/>
        <v>0</v>
      </c>
      <c r="R208">
        <f t="shared" si="39"/>
        <v>0</v>
      </c>
      <c r="S208">
        <f t="shared" si="39"/>
        <v>0</v>
      </c>
      <c r="T208">
        <f t="shared" si="39"/>
        <v>0</v>
      </c>
      <c r="U208">
        <f t="shared" si="39"/>
        <v>0</v>
      </c>
      <c r="V208">
        <f t="shared" si="39"/>
        <v>0</v>
      </c>
      <c r="W208">
        <f t="shared" si="39"/>
        <v>0</v>
      </c>
      <c r="X208">
        <f t="shared" si="39"/>
        <v>0</v>
      </c>
      <c r="Y208">
        <f t="shared" si="39"/>
        <v>0</v>
      </c>
      <c r="Z208">
        <f t="shared" si="39"/>
        <v>0</v>
      </c>
      <c r="AA208">
        <f t="shared" si="39"/>
        <v>0</v>
      </c>
      <c r="AB208">
        <f t="shared" si="39"/>
        <v>0</v>
      </c>
      <c r="AC208">
        <f t="shared" si="39"/>
        <v>0</v>
      </c>
      <c r="AD208">
        <f t="shared" si="39"/>
        <v>0</v>
      </c>
      <c r="AE208">
        <f t="shared" si="39"/>
        <v>0</v>
      </c>
      <c r="AF208">
        <f t="shared" si="39"/>
        <v>0</v>
      </c>
      <c r="AG208">
        <f t="shared" si="39"/>
        <v>0</v>
      </c>
      <c r="AH208">
        <f t="shared" si="39"/>
        <v>0</v>
      </c>
      <c r="AI208">
        <f t="shared" si="39"/>
        <v>0</v>
      </c>
      <c r="AJ208">
        <f t="shared" si="39"/>
        <v>0</v>
      </c>
      <c r="AK208">
        <f t="shared" si="39"/>
        <v>0</v>
      </c>
      <c r="AL208">
        <f t="shared" si="39"/>
        <v>0</v>
      </c>
      <c r="AM208">
        <f t="shared" si="39"/>
        <v>0</v>
      </c>
      <c r="AN208">
        <f>SUM(C208:AM208)</f>
        <v>0</v>
      </c>
      <c r="AQ208" s="15"/>
      <c r="AR208" s="13"/>
      <c r="AS208" s="10"/>
    </row>
    <row r="209" spans="1:49" hidden="1" outlineLevel="2" x14ac:dyDescent="0.35">
      <c r="A209" s="5" t="s">
        <v>70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Q209" s="15"/>
      <c r="AR209" s="13"/>
      <c r="AS209" s="10"/>
    </row>
    <row r="210" spans="1:49" hidden="1" outlineLevel="2" x14ac:dyDescent="0.35">
      <c r="A210" s="5" t="s">
        <v>71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Q210" s="15"/>
      <c r="AR210" s="13"/>
      <c r="AS210" s="10"/>
    </row>
    <row r="211" spans="1:49" hidden="1" outlineLevel="2" x14ac:dyDescent="0.35">
      <c r="A211" s="5" t="s">
        <v>74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Q211" s="15"/>
      <c r="AR211" s="13"/>
      <c r="AS211" s="10"/>
    </row>
    <row r="212" spans="1:49" hidden="1" outlineLevel="2" x14ac:dyDescent="0.35">
      <c r="A212" s="5" t="s">
        <v>75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Q212" s="15"/>
      <c r="AR212" s="13"/>
      <c r="AS212" s="10"/>
    </row>
    <row r="213" spans="1:49" hidden="1" outlineLevel="2" x14ac:dyDescent="0.35">
      <c r="A213" s="5" t="s">
        <v>153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Q213" s="15"/>
      <c r="AR213" s="13"/>
      <c r="AS213" s="10"/>
    </row>
    <row r="214" spans="1:49" ht="15.75" hidden="1" customHeight="1" outlineLevel="1" collapsed="1" x14ac:dyDescent="0.35">
      <c r="A214" s="164" t="s">
        <v>154</v>
      </c>
      <c r="C214" s="6">
        <f>SUM(C215:C218)</f>
        <v>0</v>
      </c>
      <c r="D214" s="6">
        <f t="shared" ref="D214:AM214" si="40">SUM(D215:D218)</f>
        <v>0</v>
      </c>
      <c r="E214" s="6">
        <f t="shared" si="40"/>
        <v>0</v>
      </c>
      <c r="F214" s="6">
        <f t="shared" si="40"/>
        <v>0</v>
      </c>
      <c r="G214" s="6">
        <f t="shared" si="40"/>
        <v>0</v>
      </c>
      <c r="H214" s="6">
        <f t="shared" si="40"/>
        <v>0</v>
      </c>
      <c r="I214" s="6">
        <f t="shared" si="40"/>
        <v>0</v>
      </c>
      <c r="J214" s="6">
        <f t="shared" si="40"/>
        <v>0</v>
      </c>
      <c r="K214" s="6">
        <f t="shared" si="40"/>
        <v>0</v>
      </c>
      <c r="L214" s="6">
        <f t="shared" si="40"/>
        <v>0</v>
      </c>
      <c r="M214" s="6">
        <f t="shared" si="40"/>
        <v>0</v>
      </c>
      <c r="N214" s="6">
        <f t="shared" si="40"/>
        <v>0</v>
      </c>
      <c r="O214" s="6">
        <f t="shared" si="40"/>
        <v>0</v>
      </c>
      <c r="P214" s="6">
        <f t="shared" si="40"/>
        <v>0</v>
      </c>
      <c r="Q214" s="6">
        <f t="shared" si="40"/>
        <v>0</v>
      </c>
      <c r="R214" s="6">
        <f t="shared" si="40"/>
        <v>0</v>
      </c>
      <c r="S214" s="6">
        <f t="shared" si="40"/>
        <v>0</v>
      </c>
      <c r="T214" s="6">
        <f t="shared" si="40"/>
        <v>0</v>
      </c>
      <c r="U214" s="6">
        <f t="shared" si="40"/>
        <v>0</v>
      </c>
      <c r="V214" s="6">
        <f t="shared" si="40"/>
        <v>0</v>
      </c>
      <c r="W214" s="6">
        <f t="shared" si="40"/>
        <v>0</v>
      </c>
      <c r="X214" s="6">
        <f t="shared" si="40"/>
        <v>0</v>
      </c>
      <c r="Y214" s="6">
        <f t="shared" si="40"/>
        <v>0</v>
      </c>
      <c r="Z214" s="6">
        <f t="shared" si="40"/>
        <v>0</v>
      </c>
      <c r="AA214" s="6">
        <f t="shared" si="40"/>
        <v>0</v>
      </c>
      <c r="AB214" s="6">
        <f t="shared" si="40"/>
        <v>0</v>
      </c>
      <c r="AC214" s="6">
        <f t="shared" si="40"/>
        <v>0</v>
      </c>
      <c r="AD214" s="6">
        <f t="shared" si="40"/>
        <v>0</v>
      </c>
      <c r="AE214" s="6">
        <f t="shared" si="40"/>
        <v>0</v>
      </c>
      <c r="AF214" s="6">
        <f t="shared" si="40"/>
        <v>0</v>
      </c>
      <c r="AG214" s="6">
        <f t="shared" si="40"/>
        <v>0</v>
      </c>
      <c r="AH214" s="6">
        <f t="shared" si="40"/>
        <v>0</v>
      </c>
      <c r="AI214" s="6">
        <f t="shared" si="40"/>
        <v>0</v>
      </c>
      <c r="AJ214" s="6">
        <f t="shared" si="40"/>
        <v>0</v>
      </c>
      <c r="AK214" s="6">
        <f t="shared" si="40"/>
        <v>0</v>
      </c>
      <c r="AL214" s="6">
        <f t="shared" si="40"/>
        <v>0</v>
      </c>
      <c r="AM214" s="6">
        <f t="shared" si="40"/>
        <v>0</v>
      </c>
      <c r="AN214">
        <f>SUM(C214:AM214)</f>
        <v>0</v>
      </c>
      <c r="AQ214" s="15"/>
      <c r="AR214" s="13"/>
      <c r="AS214" s="10"/>
      <c r="AW214" s="12"/>
    </row>
    <row r="215" spans="1:49" ht="15.75" hidden="1" customHeight="1" outlineLevel="2" x14ac:dyDescent="0.35">
      <c r="A215" s="5" t="s">
        <v>155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Q215" s="15"/>
      <c r="AR215" s="13"/>
      <c r="AS215" s="10"/>
      <c r="AW215" s="12"/>
    </row>
    <row r="216" spans="1:49" ht="15.75" hidden="1" customHeight="1" outlineLevel="2" x14ac:dyDescent="0.35">
      <c r="A216" s="5" t="s">
        <v>156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Q216" s="15"/>
      <c r="AR216" s="13"/>
      <c r="AS216" s="10"/>
      <c r="AW216" s="12"/>
    </row>
    <row r="217" spans="1:49" ht="15.75" hidden="1" customHeight="1" outlineLevel="2" x14ac:dyDescent="0.35">
      <c r="A217" s="5" t="s">
        <v>157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Q217" s="15"/>
      <c r="AR217" s="13"/>
      <c r="AS217" s="10"/>
      <c r="AW217" s="12"/>
    </row>
    <row r="218" spans="1:49" ht="15.75" hidden="1" customHeight="1" outlineLevel="2" x14ac:dyDescent="0.35">
      <c r="A218" s="5" t="s">
        <v>95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Q218" s="15"/>
      <c r="AR218" s="13"/>
      <c r="AS218" s="10"/>
      <c r="AW218" s="12"/>
    </row>
    <row r="219" spans="1:49" ht="15.75" hidden="1" customHeight="1" outlineLevel="1" collapsed="1" x14ac:dyDescent="0.35">
      <c r="A219" s="164" t="s">
        <v>158</v>
      </c>
      <c r="C219" s="6">
        <f>SUM(C220:C223)</f>
        <v>0</v>
      </c>
      <c r="D219" s="6">
        <f t="shared" ref="D219:AM219" si="41">SUM(D220:D223)</f>
        <v>0</v>
      </c>
      <c r="E219" s="6">
        <f t="shared" si="41"/>
        <v>0</v>
      </c>
      <c r="F219" s="6">
        <f t="shared" si="41"/>
        <v>0</v>
      </c>
      <c r="G219" s="6">
        <f t="shared" si="41"/>
        <v>0</v>
      </c>
      <c r="H219" s="6">
        <f t="shared" si="41"/>
        <v>0</v>
      </c>
      <c r="I219" s="6">
        <f t="shared" si="41"/>
        <v>0</v>
      </c>
      <c r="J219" s="6">
        <f t="shared" si="41"/>
        <v>0</v>
      </c>
      <c r="K219" s="6">
        <f t="shared" si="41"/>
        <v>0</v>
      </c>
      <c r="L219" s="6">
        <f t="shared" si="41"/>
        <v>0</v>
      </c>
      <c r="M219" s="6">
        <f t="shared" si="41"/>
        <v>0</v>
      </c>
      <c r="N219" s="6">
        <f t="shared" si="41"/>
        <v>0</v>
      </c>
      <c r="O219" s="6">
        <f t="shared" si="41"/>
        <v>0</v>
      </c>
      <c r="P219" s="6">
        <f t="shared" si="41"/>
        <v>0</v>
      </c>
      <c r="Q219" s="6">
        <f t="shared" si="41"/>
        <v>0</v>
      </c>
      <c r="R219" s="6">
        <f t="shared" si="41"/>
        <v>0</v>
      </c>
      <c r="S219" s="6">
        <f t="shared" si="41"/>
        <v>0</v>
      </c>
      <c r="T219" s="6">
        <f t="shared" si="41"/>
        <v>0</v>
      </c>
      <c r="U219" s="6">
        <f t="shared" si="41"/>
        <v>0</v>
      </c>
      <c r="V219" s="6">
        <f t="shared" si="41"/>
        <v>0</v>
      </c>
      <c r="W219" s="6">
        <f t="shared" si="41"/>
        <v>0</v>
      </c>
      <c r="X219" s="6">
        <f t="shared" si="41"/>
        <v>0</v>
      </c>
      <c r="Y219" s="6">
        <f t="shared" si="41"/>
        <v>0</v>
      </c>
      <c r="Z219" s="6">
        <f t="shared" si="41"/>
        <v>0</v>
      </c>
      <c r="AA219" s="6">
        <f t="shared" si="41"/>
        <v>0</v>
      </c>
      <c r="AB219" s="6">
        <f t="shared" si="41"/>
        <v>0</v>
      </c>
      <c r="AC219" s="6">
        <f t="shared" si="41"/>
        <v>0</v>
      </c>
      <c r="AD219" s="6">
        <f t="shared" si="41"/>
        <v>0</v>
      </c>
      <c r="AE219" s="6">
        <f t="shared" si="41"/>
        <v>0</v>
      </c>
      <c r="AF219" s="6">
        <f t="shared" si="41"/>
        <v>0</v>
      </c>
      <c r="AG219" s="6">
        <f t="shared" si="41"/>
        <v>0</v>
      </c>
      <c r="AH219" s="6">
        <f t="shared" si="41"/>
        <v>0</v>
      </c>
      <c r="AI219" s="6">
        <f t="shared" si="41"/>
        <v>0</v>
      </c>
      <c r="AJ219" s="6">
        <f t="shared" si="41"/>
        <v>0</v>
      </c>
      <c r="AK219" s="6">
        <f t="shared" si="41"/>
        <v>0</v>
      </c>
      <c r="AL219" s="6">
        <f t="shared" si="41"/>
        <v>0</v>
      </c>
      <c r="AM219" s="6">
        <f t="shared" si="41"/>
        <v>0</v>
      </c>
      <c r="AN219">
        <f>SUM(C219:AM219)</f>
        <v>0</v>
      </c>
      <c r="AQ219" s="15"/>
      <c r="AR219" s="13"/>
      <c r="AS219" s="10"/>
      <c r="AW219" s="12"/>
    </row>
    <row r="220" spans="1:49" ht="15.75" hidden="1" customHeight="1" outlineLevel="2" x14ac:dyDescent="0.35">
      <c r="A220" s="5" t="s">
        <v>155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Q220" s="15"/>
      <c r="AR220" s="13"/>
      <c r="AS220" s="10"/>
      <c r="AW220" s="12"/>
    </row>
    <row r="221" spans="1:49" ht="15.75" hidden="1" customHeight="1" outlineLevel="2" x14ac:dyDescent="0.35">
      <c r="A221" s="5" t="s">
        <v>156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Q221" s="15"/>
      <c r="AR221" s="13"/>
      <c r="AS221" s="10"/>
      <c r="AW221" s="12"/>
    </row>
    <row r="222" spans="1:49" ht="15.75" hidden="1" customHeight="1" outlineLevel="2" x14ac:dyDescent="0.35">
      <c r="A222" s="5" t="s">
        <v>157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Q222" s="15"/>
      <c r="AR222" s="13"/>
      <c r="AS222" s="10"/>
      <c r="AW222" s="12"/>
    </row>
    <row r="223" spans="1:49" ht="15.75" hidden="1" customHeight="1" outlineLevel="2" x14ac:dyDescent="0.35">
      <c r="A223" s="5" t="s">
        <v>95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Q223" s="15"/>
      <c r="AR223" s="13"/>
      <c r="AS223" s="10"/>
      <c r="AW223" s="12"/>
    </row>
    <row r="224" spans="1:49" ht="15.65" hidden="1" customHeight="1" outlineLevel="1" collapsed="1" x14ac:dyDescent="0.35">
      <c r="A224" s="164" t="s">
        <v>159</v>
      </c>
      <c r="C224" s="6">
        <f>SUM(C225:C228)</f>
        <v>0</v>
      </c>
      <c r="D224" s="6">
        <f t="shared" ref="D224:AM224" si="42">SUM(D225:D228)</f>
        <v>0</v>
      </c>
      <c r="E224" s="6">
        <f t="shared" si="42"/>
        <v>0</v>
      </c>
      <c r="F224" s="6">
        <f t="shared" si="42"/>
        <v>0</v>
      </c>
      <c r="G224" s="6">
        <f t="shared" si="42"/>
        <v>0</v>
      </c>
      <c r="H224" s="6">
        <f t="shared" si="42"/>
        <v>0</v>
      </c>
      <c r="I224" s="6">
        <f t="shared" si="42"/>
        <v>0</v>
      </c>
      <c r="J224" s="6">
        <f t="shared" si="42"/>
        <v>0</v>
      </c>
      <c r="K224" s="6">
        <f t="shared" si="42"/>
        <v>0</v>
      </c>
      <c r="L224" s="6">
        <f t="shared" si="42"/>
        <v>0</v>
      </c>
      <c r="M224" s="6">
        <f t="shared" si="42"/>
        <v>0</v>
      </c>
      <c r="N224" s="6">
        <f t="shared" si="42"/>
        <v>0</v>
      </c>
      <c r="O224" s="6">
        <f t="shared" si="42"/>
        <v>0</v>
      </c>
      <c r="P224" s="6">
        <f t="shared" si="42"/>
        <v>0</v>
      </c>
      <c r="Q224" s="6">
        <f t="shared" si="42"/>
        <v>0</v>
      </c>
      <c r="R224" s="6">
        <f t="shared" si="42"/>
        <v>0</v>
      </c>
      <c r="S224" s="6">
        <f t="shared" si="42"/>
        <v>0</v>
      </c>
      <c r="T224" s="6">
        <f t="shared" si="42"/>
        <v>0</v>
      </c>
      <c r="U224" s="6">
        <f t="shared" si="42"/>
        <v>0</v>
      </c>
      <c r="V224" s="6">
        <f t="shared" si="42"/>
        <v>0</v>
      </c>
      <c r="W224" s="6">
        <f t="shared" si="42"/>
        <v>0</v>
      </c>
      <c r="X224" s="6">
        <f t="shared" si="42"/>
        <v>0</v>
      </c>
      <c r="Y224" s="6">
        <f t="shared" si="42"/>
        <v>0</v>
      </c>
      <c r="Z224" s="6">
        <f t="shared" si="42"/>
        <v>0</v>
      </c>
      <c r="AA224" s="6">
        <f t="shared" si="42"/>
        <v>0</v>
      </c>
      <c r="AB224" s="6">
        <f t="shared" si="42"/>
        <v>0</v>
      </c>
      <c r="AC224" s="6">
        <f t="shared" si="42"/>
        <v>0</v>
      </c>
      <c r="AD224" s="6">
        <f t="shared" si="42"/>
        <v>0</v>
      </c>
      <c r="AE224" s="6">
        <f t="shared" si="42"/>
        <v>0</v>
      </c>
      <c r="AF224" s="6">
        <f t="shared" si="42"/>
        <v>0</v>
      </c>
      <c r="AG224" s="6">
        <f t="shared" si="42"/>
        <v>0</v>
      </c>
      <c r="AH224" s="6">
        <f t="shared" si="42"/>
        <v>0</v>
      </c>
      <c r="AI224" s="6">
        <f t="shared" si="42"/>
        <v>0</v>
      </c>
      <c r="AJ224" s="6">
        <f t="shared" si="42"/>
        <v>0</v>
      </c>
      <c r="AK224" s="6">
        <f t="shared" si="42"/>
        <v>0</v>
      </c>
      <c r="AL224" s="6">
        <f t="shared" si="42"/>
        <v>0</v>
      </c>
      <c r="AM224" s="6">
        <f t="shared" si="42"/>
        <v>0</v>
      </c>
      <c r="AN224">
        <f>SUM(C224:AM224)</f>
        <v>0</v>
      </c>
      <c r="AQ224" s="15"/>
      <c r="AR224" s="13"/>
      <c r="AS224" s="10"/>
      <c r="AW224" s="12"/>
    </row>
    <row r="225" spans="1:51" ht="15.65" hidden="1" customHeight="1" outlineLevel="2" x14ac:dyDescent="0.35">
      <c r="A225" s="5" t="s">
        <v>155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Q225" s="15"/>
      <c r="AR225" s="13"/>
      <c r="AS225" s="10"/>
      <c r="AW225" s="12"/>
    </row>
    <row r="226" spans="1:51" ht="15.65" hidden="1" customHeight="1" outlineLevel="2" x14ac:dyDescent="0.35">
      <c r="A226" s="5" t="s">
        <v>156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Q226" s="15"/>
      <c r="AR226" s="13"/>
      <c r="AS226" s="10"/>
      <c r="AW226" s="12"/>
    </row>
    <row r="227" spans="1:51" ht="15.65" hidden="1" customHeight="1" outlineLevel="2" x14ac:dyDescent="0.35">
      <c r="A227" s="5" t="s">
        <v>157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Q227" s="15"/>
      <c r="AR227" s="13"/>
      <c r="AS227" s="10"/>
      <c r="AW227" s="12"/>
    </row>
    <row r="228" spans="1:51" hidden="1" outlineLevel="2" x14ac:dyDescent="0.35">
      <c r="A228" s="5" t="s">
        <v>95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6"/>
      <c r="AO228" s="6"/>
      <c r="AQ228" s="15"/>
      <c r="AR228" s="12"/>
    </row>
    <row r="229" spans="1:51" hidden="1" outlineLevel="1" collapsed="1" x14ac:dyDescent="0.35">
      <c r="A229" s="164" t="s">
        <v>160</v>
      </c>
      <c r="C229">
        <f>SUM(C230:C233)</f>
        <v>0</v>
      </c>
      <c r="D229">
        <f t="shared" ref="D229:AM229" si="43">SUM(D230:D233)</f>
        <v>0</v>
      </c>
      <c r="E229">
        <f t="shared" si="43"/>
        <v>0</v>
      </c>
      <c r="F229">
        <f t="shared" si="43"/>
        <v>0</v>
      </c>
      <c r="G229">
        <f t="shared" si="43"/>
        <v>0</v>
      </c>
      <c r="H229">
        <f t="shared" si="43"/>
        <v>0</v>
      </c>
      <c r="I229">
        <f t="shared" si="43"/>
        <v>0</v>
      </c>
      <c r="J229">
        <f t="shared" si="43"/>
        <v>0</v>
      </c>
      <c r="K229">
        <f t="shared" si="43"/>
        <v>0</v>
      </c>
      <c r="L229">
        <f t="shared" si="43"/>
        <v>0</v>
      </c>
      <c r="M229">
        <f t="shared" si="43"/>
        <v>0</v>
      </c>
      <c r="N229">
        <f t="shared" si="43"/>
        <v>0</v>
      </c>
      <c r="O229">
        <f t="shared" si="43"/>
        <v>0</v>
      </c>
      <c r="P229">
        <f t="shared" si="43"/>
        <v>0</v>
      </c>
      <c r="Q229">
        <f t="shared" si="43"/>
        <v>0</v>
      </c>
      <c r="R229">
        <f t="shared" si="43"/>
        <v>0</v>
      </c>
      <c r="S229">
        <f t="shared" si="43"/>
        <v>0</v>
      </c>
      <c r="T229">
        <f t="shared" si="43"/>
        <v>0</v>
      </c>
      <c r="U229">
        <f t="shared" si="43"/>
        <v>0</v>
      </c>
      <c r="V229">
        <f t="shared" si="43"/>
        <v>0</v>
      </c>
      <c r="W229">
        <f t="shared" si="43"/>
        <v>0</v>
      </c>
      <c r="X229">
        <f t="shared" si="43"/>
        <v>0</v>
      </c>
      <c r="Y229">
        <f t="shared" si="43"/>
        <v>0</v>
      </c>
      <c r="Z229">
        <f t="shared" si="43"/>
        <v>0</v>
      </c>
      <c r="AA229">
        <f t="shared" si="43"/>
        <v>0</v>
      </c>
      <c r="AB229">
        <f t="shared" si="43"/>
        <v>0</v>
      </c>
      <c r="AC229">
        <f t="shared" si="43"/>
        <v>0</v>
      </c>
      <c r="AD229">
        <f t="shared" si="43"/>
        <v>0</v>
      </c>
      <c r="AE229">
        <f t="shared" si="43"/>
        <v>0</v>
      </c>
      <c r="AF229">
        <f t="shared" si="43"/>
        <v>0</v>
      </c>
      <c r="AG229">
        <f t="shared" si="43"/>
        <v>0</v>
      </c>
      <c r="AH229">
        <f t="shared" si="43"/>
        <v>0</v>
      </c>
      <c r="AI229">
        <f t="shared" si="43"/>
        <v>0</v>
      </c>
      <c r="AJ229">
        <f t="shared" si="43"/>
        <v>0</v>
      </c>
      <c r="AK229">
        <f t="shared" si="43"/>
        <v>0</v>
      </c>
      <c r="AL229">
        <f t="shared" si="43"/>
        <v>0</v>
      </c>
      <c r="AM229">
        <f t="shared" si="43"/>
        <v>0</v>
      </c>
      <c r="AN229">
        <f>SUM(C229:AM229)</f>
        <v>0</v>
      </c>
      <c r="AO229" s="6"/>
      <c r="AQ229" s="15"/>
      <c r="AR229" s="12"/>
    </row>
    <row r="230" spans="1:51" hidden="1" outlineLevel="2" x14ac:dyDescent="0.35">
      <c r="A230" s="5" t="s">
        <v>155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6"/>
      <c r="AO230" s="6"/>
      <c r="AQ230" s="15"/>
      <c r="AR230" s="12"/>
    </row>
    <row r="231" spans="1:51" hidden="1" outlineLevel="2" x14ac:dyDescent="0.35">
      <c r="A231" s="5" t="s">
        <v>156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6"/>
      <c r="AO231" s="6"/>
      <c r="AQ231" s="15"/>
      <c r="AR231" s="12"/>
    </row>
    <row r="232" spans="1:51" hidden="1" outlineLevel="2" x14ac:dyDescent="0.35">
      <c r="A232" s="5" t="s">
        <v>157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6"/>
      <c r="AO232" s="6"/>
      <c r="AQ232" s="15"/>
      <c r="AR232" s="12"/>
    </row>
    <row r="233" spans="1:51" hidden="1" outlineLevel="2" x14ac:dyDescent="0.35">
      <c r="A233" s="5" t="s">
        <v>95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6"/>
      <c r="AO233" s="6"/>
      <c r="AQ233" s="15"/>
      <c r="AR233" s="12"/>
    </row>
    <row r="234" spans="1:51" hidden="1" outlineLevel="1" collapsed="1" x14ac:dyDescent="0.35">
      <c r="A234" s="164" t="s">
        <v>161</v>
      </c>
      <c r="C234">
        <f>SUM(C235:C237)</f>
        <v>0</v>
      </c>
      <c r="D234">
        <f t="shared" ref="D234:AM234" si="44">SUM(D235:D237)</f>
        <v>0</v>
      </c>
      <c r="E234">
        <f t="shared" si="44"/>
        <v>0</v>
      </c>
      <c r="F234">
        <f t="shared" si="44"/>
        <v>0</v>
      </c>
      <c r="G234">
        <f t="shared" si="44"/>
        <v>0</v>
      </c>
      <c r="H234">
        <f t="shared" si="44"/>
        <v>0</v>
      </c>
      <c r="I234">
        <f t="shared" si="44"/>
        <v>0</v>
      </c>
      <c r="J234">
        <f t="shared" si="44"/>
        <v>0</v>
      </c>
      <c r="K234">
        <f t="shared" si="44"/>
        <v>0</v>
      </c>
      <c r="L234">
        <f t="shared" si="44"/>
        <v>0</v>
      </c>
      <c r="M234">
        <f t="shared" si="44"/>
        <v>0</v>
      </c>
      <c r="N234">
        <f t="shared" si="44"/>
        <v>0</v>
      </c>
      <c r="O234">
        <f t="shared" si="44"/>
        <v>0</v>
      </c>
      <c r="P234">
        <f t="shared" si="44"/>
        <v>0</v>
      </c>
      <c r="Q234">
        <f t="shared" si="44"/>
        <v>0</v>
      </c>
      <c r="R234">
        <f t="shared" si="44"/>
        <v>0</v>
      </c>
      <c r="S234">
        <f t="shared" si="44"/>
        <v>0</v>
      </c>
      <c r="T234">
        <f t="shared" si="44"/>
        <v>0</v>
      </c>
      <c r="U234">
        <f t="shared" si="44"/>
        <v>0</v>
      </c>
      <c r="V234">
        <f t="shared" si="44"/>
        <v>0</v>
      </c>
      <c r="W234">
        <f t="shared" si="44"/>
        <v>0</v>
      </c>
      <c r="X234">
        <f t="shared" si="44"/>
        <v>0</v>
      </c>
      <c r="Y234">
        <f t="shared" si="44"/>
        <v>0</v>
      </c>
      <c r="Z234">
        <f t="shared" si="44"/>
        <v>0</v>
      </c>
      <c r="AA234">
        <f t="shared" si="44"/>
        <v>0</v>
      </c>
      <c r="AB234">
        <f t="shared" si="44"/>
        <v>0</v>
      </c>
      <c r="AC234">
        <f t="shared" si="44"/>
        <v>0</v>
      </c>
      <c r="AD234">
        <f t="shared" si="44"/>
        <v>0</v>
      </c>
      <c r="AE234">
        <f t="shared" si="44"/>
        <v>0</v>
      </c>
      <c r="AF234">
        <f t="shared" si="44"/>
        <v>0</v>
      </c>
      <c r="AG234">
        <f t="shared" si="44"/>
        <v>0</v>
      </c>
      <c r="AH234">
        <f t="shared" si="44"/>
        <v>0</v>
      </c>
      <c r="AI234">
        <f t="shared" si="44"/>
        <v>0</v>
      </c>
      <c r="AJ234">
        <f t="shared" si="44"/>
        <v>0</v>
      </c>
      <c r="AK234">
        <f t="shared" si="44"/>
        <v>0</v>
      </c>
      <c r="AL234">
        <f t="shared" si="44"/>
        <v>0</v>
      </c>
      <c r="AM234">
        <f t="shared" si="44"/>
        <v>0</v>
      </c>
      <c r="AN234">
        <f>SUM(C234:AM234)</f>
        <v>0</v>
      </c>
      <c r="AO234" s="6"/>
      <c r="AQ234" s="15"/>
      <c r="AR234" s="12"/>
    </row>
    <row r="235" spans="1:51" hidden="1" outlineLevel="2" x14ac:dyDescent="0.35">
      <c r="A235" s="5" t="s">
        <v>155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AN235" s="6"/>
      <c r="AO235" s="6"/>
      <c r="AQ235" s="15"/>
      <c r="AR235" s="12"/>
    </row>
    <row r="236" spans="1:51" hidden="1" outlineLevel="2" x14ac:dyDescent="0.35">
      <c r="A236" s="5" t="s">
        <v>157</v>
      </c>
      <c r="U236" s="14"/>
      <c r="V236" s="14"/>
      <c r="W236" s="14"/>
      <c r="X236" s="14"/>
      <c r="AN236" s="6"/>
      <c r="AO236" s="6"/>
      <c r="AQ236" s="15"/>
      <c r="AR236" s="12"/>
    </row>
    <row r="237" spans="1:51" hidden="1" outlineLevel="2" x14ac:dyDescent="0.35">
      <c r="A237" s="5" t="s">
        <v>95</v>
      </c>
      <c r="AK237" s="14"/>
      <c r="AL237" s="14"/>
      <c r="AM237" s="14"/>
      <c r="AN237" s="6"/>
      <c r="AO237" s="6"/>
      <c r="AQ237" s="15"/>
      <c r="AR237" s="12"/>
    </row>
    <row r="238" spans="1:51" x14ac:dyDescent="0.35">
      <c r="A238" s="5"/>
      <c r="AQ238" s="15"/>
      <c r="AR238" s="12"/>
      <c r="AY238" s="13"/>
    </row>
    <row r="239" spans="1:51" x14ac:dyDescent="0.35">
      <c r="A239" s="163" t="s">
        <v>162</v>
      </c>
      <c r="AP239">
        <f>SUM(C239:AM239)</f>
        <v>0</v>
      </c>
      <c r="AQ239" s="168">
        <f>850/7.45</f>
        <v>114.09395973154362</v>
      </c>
      <c r="AR239" s="13">
        <f>AP239*AQ239</f>
        <v>0</v>
      </c>
      <c r="AS239" s="10">
        <f>(AP239/135)/$AS$2</f>
        <v>0</v>
      </c>
    </row>
    <row r="240" spans="1:51" x14ac:dyDescent="0.35">
      <c r="A240" s="5"/>
      <c r="AQ240" s="15"/>
      <c r="AR240" s="12"/>
    </row>
    <row r="241" spans="1:45" x14ac:dyDescent="0.35">
      <c r="A241" s="5"/>
      <c r="AO241" t="s">
        <v>163</v>
      </c>
      <c r="AQ241" s="15"/>
      <c r="AR241" s="12">
        <f>SUM(AR18:AR239)</f>
        <v>0</v>
      </c>
    </row>
    <row r="242" spans="1:45" x14ac:dyDescent="0.35">
      <c r="A242" s="5"/>
      <c r="AQ242" s="15"/>
      <c r="AR242" s="12"/>
    </row>
    <row r="243" spans="1:45" x14ac:dyDescent="0.35">
      <c r="A243" s="166" t="s">
        <v>436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P243">
        <f>SUM(C243:AM243)</f>
        <v>0</v>
      </c>
      <c r="AQ243" s="168">
        <f>825/7.45</f>
        <v>110.73825503355704</v>
      </c>
      <c r="AR243" s="13">
        <f>AP243*AQ243</f>
        <v>0</v>
      </c>
      <c r="AS243" s="10">
        <f>(AP243/161)/$AS$2</f>
        <v>0</v>
      </c>
    </row>
    <row r="244" spans="1:45" x14ac:dyDescent="0.35">
      <c r="A244" s="166" t="s">
        <v>437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P244">
        <f t="shared" ref="AP244:AP245" si="45">SUM(C244:AM244)</f>
        <v>0</v>
      </c>
      <c r="AQ244" s="168">
        <f t="shared" ref="AQ244:AQ245" si="46">825/7.45</f>
        <v>110.73825503355704</v>
      </c>
      <c r="AR244" s="13">
        <f t="shared" ref="AR244:AR245" si="47">AP244*AQ244</f>
        <v>0</v>
      </c>
      <c r="AS244" s="10">
        <f t="shared" ref="AS244:AS245" si="48">(AP244/161)/$AS$2</f>
        <v>0</v>
      </c>
    </row>
    <row r="245" spans="1:45" x14ac:dyDescent="0.35">
      <c r="A245" s="166" t="s">
        <v>438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P245">
        <f t="shared" si="45"/>
        <v>0</v>
      </c>
      <c r="AQ245" s="168">
        <f t="shared" si="46"/>
        <v>110.73825503355704</v>
      </c>
      <c r="AR245" s="13">
        <f t="shared" si="47"/>
        <v>0</v>
      </c>
      <c r="AS245" s="10">
        <f t="shared" si="48"/>
        <v>0</v>
      </c>
    </row>
    <row r="246" spans="1:45" x14ac:dyDescent="0.35">
      <c r="A246" s="6"/>
      <c r="AN246" s="18"/>
      <c r="AO246" s="18"/>
      <c r="AQ246" s="15"/>
      <c r="AR246" s="13"/>
      <c r="AS246" s="10"/>
    </row>
    <row r="247" spans="1:45" x14ac:dyDescent="0.35">
      <c r="A247"/>
      <c r="C247">
        <f>C18+C49+C92+C118+C124+C135+C141+C151+C161+C171+C178+C188+C198+C239+C243+C244+C245</f>
        <v>0</v>
      </c>
      <c r="D247">
        <f t="shared" ref="D247:AM247" si="49">D18+D49+D92+D118+D124+D135+D141+D151+D161+D171+D178+D188+D198+D239+D243+D244+D245</f>
        <v>0</v>
      </c>
      <c r="E247">
        <f t="shared" si="49"/>
        <v>0</v>
      </c>
      <c r="F247">
        <f t="shared" si="49"/>
        <v>0</v>
      </c>
      <c r="G247">
        <f t="shared" si="49"/>
        <v>0</v>
      </c>
      <c r="H247">
        <f t="shared" si="49"/>
        <v>0</v>
      </c>
      <c r="I247">
        <f t="shared" si="49"/>
        <v>0</v>
      </c>
      <c r="J247">
        <f t="shared" si="49"/>
        <v>0</v>
      </c>
      <c r="K247">
        <f t="shared" si="49"/>
        <v>0</v>
      </c>
      <c r="L247">
        <f t="shared" si="49"/>
        <v>0</v>
      </c>
      <c r="M247">
        <f t="shared" si="49"/>
        <v>0</v>
      </c>
      <c r="N247">
        <f t="shared" si="49"/>
        <v>0</v>
      </c>
      <c r="O247">
        <f t="shared" si="49"/>
        <v>0</v>
      </c>
      <c r="P247">
        <f t="shared" si="49"/>
        <v>0</v>
      </c>
      <c r="Q247">
        <f t="shared" si="49"/>
        <v>0</v>
      </c>
      <c r="R247">
        <f t="shared" si="49"/>
        <v>0</v>
      </c>
      <c r="S247">
        <f t="shared" si="49"/>
        <v>0</v>
      </c>
      <c r="T247">
        <f t="shared" si="49"/>
        <v>0</v>
      </c>
      <c r="U247">
        <f t="shared" si="49"/>
        <v>0</v>
      </c>
      <c r="V247">
        <f t="shared" si="49"/>
        <v>0</v>
      </c>
      <c r="W247">
        <f t="shared" si="49"/>
        <v>0</v>
      </c>
      <c r="X247">
        <f t="shared" si="49"/>
        <v>0</v>
      </c>
      <c r="Y247">
        <f t="shared" si="49"/>
        <v>0</v>
      </c>
      <c r="Z247">
        <f t="shared" si="49"/>
        <v>0</v>
      </c>
      <c r="AA247">
        <f t="shared" si="49"/>
        <v>0</v>
      </c>
      <c r="AB247">
        <f t="shared" si="49"/>
        <v>0</v>
      </c>
      <c r="AC247">
        <f t="shared" si="49"/>
        <v>0</v>
      </c>
      <c r="AD247">
        <f t="shared" si="49"/>
        <v>0</v>
      </c>
      <c r="AE247">
        <f t="shared" si="49"/>
        <v>0</v>
      </c>
      <c r="AF247">
        <f t="shared" si="49"/>
        <v>0</v>
      </c>
      <c r="AG247">
        <f t="shared" si="49"/>
        <v>0</v>
      </c>
      <c r="AH247">
        <f t="shared" si="49"/>
        <v>0</v>
      </c>
      <c r="AI247">
        <f t="shared" si="49"/>
        <v>0</v>
      </c>
      <c r="AJ247">
        <f t="shared" si="49"/>
        <v>0</v>
      </c>
      <c r="AK247">
        <f t="shared" si="49"/>
        <v>0</v>
      </c>
      <c r="AL247">
        <f t="shared" si="49"/>
        <v>0</v>
      </c>
      <c r="AM247">
        <f t="shared" si="49"/>
        <v>0</v>
      </c>
      <c r="AN247" s="6" t="s">
        <v>167</v>
      </c>
      <c r="AO247" s="6"/>
      <c r="AR247" s="12">
        <f>SUM(AR243:AR245)</f>
        <v>0</v>
      </c>
    </row>
    <row r="248" spans="1:45" x14ac:dyDescent="0.35">
      <c r="C248" s="127" t="e">
        <f>C247/$AP$251</f>
        <v>#DIV/0!</v>
      </c>
      <c r="D248" s="127" t="e">
        <f t="shared" ref="D248:AM248" si="50">D247/$AP$251</f>
        <v>#DIV/0!</v>
      </c>
      <c r="E248" s="127" t="e">
        <f t="shared" si="50"/>
        <v>#DIV/0!</v>
      </c>
      <c r="F248" s="127" t="e">
        <f t="shared" si="50"/>
        <v>#DIV/0!</v>
      </c>
      <c r="G248" s="127" t="e">
        <f t="shared" si="50"/>
        <v>#DIV/0!</v>
      </c>
      <c r="H248" s="127" t="e">
        <f t="shared" si="50"/>
        <v>#DIV/0!</v>
      </c>
      <c r="I248" s="127" t="e">
        <f t="shared" si="50"/>
        <v>#DIV/0!</v>
      </c>
      <c r="J248" s="127" t="e">
        <f t="shared" si="50"/>
        <v>#DIV/0!</v>
      </c>
      <c r="K248" s="127" t="e">
        <f t="shared" si="50"/>
        <v>#DIV/0!</v>
      </c>
      <c r="L248" s="127" t="e">
        <f t="shared" si="50"/>
        <v>#DIV/0!</v>
      </c>
      <c r="M248" s="127" t="e">
        <f t="shared" si="50"/>
        <v>#DIV/0!</v>
      </c>
      <c r="N248" s="127" t="e">
        <f t="shared" si="50"/>
        <v>#DIV/0!</v>
      </c>
      <c r="O248" s="127" t="e">
        <f t="shared" si="50"/>
        <v>#DIV/0!</v>
      </c>
      <c r="P248" s="127" t="e">
        <f t="shared" si="50"/>
        <v>#DIV/0!</v>
      </c>
      <c r="Q248" s="127" t="e">
        <f t="shared" si="50"/>
        <v>#DIV/0!</v>
      </c>
      <c r="R248" s="127" t="e">
        <f t="shared" si="50"/>
        <v>#DIV/0!</v>
      </c>
      <c r="S248" s="127" t="e">
        <f t="shared" si="50"/>
        <v>#DIV/0!</v>
      </c>
      <c r="T248" s="127" t="e">
        <f t="shared" si="50"/>
        <v>#DIV/0!</v>
      </c>
      <c r="U248" s="127" t="e">
        <f t="shared" si="50"/>
        <v>#DIV/0!</v>
      </c>
      <c r="V248" s="127" t="e">
        <f t="shared" si="50"/>
        <v>#DIV/0!</v>
      </c>
      <c r="W248" s="127" t="e">
        <f t="shared" si="50"/>
        <v>#DIV/0!</v>
      </c>
      <c r="X248" s="127" t="e">
        <f t="shared" si="50"/>
        <v>#DIV/0!</v>
      </c>
      <c r="Y248" s="127" t="e">
        <f t="shared" si="50"/>
        <v>#DIV/0!</v>
      </c>
      <c r="Z248" s="127" t="e">
        <f t="shared" si="50"/>
        <v>#DIV/0!</v>
      </c>
      <c r="AA248" s="127" t="e">
        <f t="shared" si="50"/>
        <v>#DIV/0!</v>
      </c>
      <c r="AB248" s="127" t="e">
        <f t="shared" si="50"/>
        <v>#DIV/0!</v>
      </c>
      <c r="AC248" s="127" t="e">
        <f t="shared" si="50"/>
        <v>#DIV/0!</v>
      </c>
      <c r="AD248" s="127" t="e">
        <f t="shared" si="50"/>
        <v>#DIV/0!</v>
      </c>
      <c r="AE248" s="127" t="e">
        <f t="shared" si="50"/>
        <v>#DIV/0!</v>
      </c>
      <c r="AF248" s="127" t="e">
        <f t="shared" si="50"/>
        <v>#DIV/0!</v>
      </c>
      <c r="AG248" s="127" t="e">
        <f t="shared" si="50"/>
        <v>#DIV/0!</v>
      </c>
      <c r="AH248" s="127" t="e">
        <f t="shared" si="50"/>
        <v>#DIV/0!</v>
      </c>
      <c r="AI248" s="127" t="e">
        <f t="shared" si="50"/>
        <v>#DIV/0!</v>
      </c>
      <c r="AJ248" s="127" t="e">
        <f t="shared" si="50"/>
        <v>#DIV/0!</v>
      </c>
      <c r="AK248" s="127" t="e">
        <f t="shared" si="50"/>
        <v>#DIV/0!</v>
      </c>
      <c r="AL248" s="127" t="e">
        <f t="shared" si="50"/>
        <v>#DIV/0!</v>
      </c>
      <c r="AM248" s="127" t="e">
        <f t="shared" si="50"/>
        <v>#DIV/0!</v>
      </c>
    </row>
    <row r="249" spans="1:45" x14ac:dyDescent="0.35">
      <c r="A249" s="3" t="s">
        <v>168</v>
      </c>
      <c r="C249" s="169"/>
      <c r="D249" s="170"/>
      <c r="E249" s="170"/>
      <c r="F249" s="170"/>
      <c r="G249" s="170"/>
      <c r="H249" s="170"/>
      <c r="I249" s="170"/>
      <c r="J249" s="170"/>
      <c r="K249" s="170"/>
      <c r="L249" s="169"/>
      <c r="M249" s="170"/>
      <c r="N249" s="170"/>
      <c r="O249" s="170"/>
      <c r="P249" s="170"/>
      <c r="Q249" s="170"/>
      <c r="R249" s="170"/>
      <c r="S249" s="170"/>
      <c r="T249" s="169"/>
      <c r="U249" s="170"/>
      <c r="V249" s="170"/>
      <c r="W249" s="170"/>
      <c r="X249" s="170"/>
      <c r="Y249" s="170"/>
      <c r="Z249" s="170"/>
      <c r="AA249" s="170"/>
      <c r="AB249" s="169"/>
      <c r="AC249" s="170"/>
      <c r="AD249" s="170"/>
      <c r="AE249" s="170"/>
      <c r="AF249" s="170"/>
      <c r="AG249" s="170"/>
      <c r="AH249" s="170"/>
      <c r="AI249" s="170"/>
      <c r="AJ249" s="170"/>
      <c r="AK249" s="170"/>
      <c r="AL249" s="170"/>
      <c r="AM249" s="170"/>
      <c r="AR249" s="12">
        <f>'DK Project Travel Cost'!D39</f>
        <v>0</v>
      </c>
      <c r="AS249" t="s">
        <v>169</v>
      </c>
    </row>
    <row r="251" spans="1:45" x14ac:dyDescent="0.35">
      <c r="A251" s="6" t="s">
        <v>170</v>
      </c>
      <c r="AN251" s="6" t="s">
        <v>170</v>
      </c>
      <c r="AO251" s="6"/>
      <c r="AP251" s="3">
        <f>SUM(AP18:AP245)</f>
        <v>0</v>
      </c>
      <c r="AR251" s="12">
        <f>AR241+AR247+AR249</f>
        <v>0</v>
      </c>
    </row>
    <row r="252" spans="1:45" x14ac:dyDescent="0.35">
      <c r="A252" s="6" t="s">
        <v>171</v>
      </c>
      <c r="AN252" s="6" t="s">
        <v>171</v>
      </c>
      <c r="AO252" s="6"/>
      <c r="AP252">
        <f>SUM(AP18:AP240)</f>
        <v>0</v>
      </c>
      <c r="AR252" s="12">
        <f>AR241+AR249</f>
        <v>0</v>
      </c>
    </row>
    <row r="254" spans="1:45" x14ac:dyDescent="0.35">
      <c r="AR254" s="12"/>
    </row>
    <row r="255" spans="1:45" x14ac:dyDescent="0.35">
      <c r="AP255" s="9"/>
      <c r="AR255" s="12"/>
    </row>
    <row r="257" spans="44:45" x14ac:dyDescent="0.35">
      <c r="AR257" s="13"/>
    </row>
    <row r="258" spans="44:45" x14ac:dyDescent="0.35">
      <c r="AR258" s="13"/>
    </row>
    <row r="262" spans="44:45" x14ac:dyDescent="0.35">
      <c r="AS262" s="13"/>
    </row>
    <row r="263" spans="44:45" x14ac:dyDescent="0.35">
      <c r="AS263" s="13"/>
    </row>
    <row r="264" spans="44:45" x14ac:dyDescent="0.35">
      <c r="AS264" s="13"/>
    </row>
    <row r="265" spans="44:45" x14ac:dyDescent="0.35">
      <c r="AS265" s="13"/>
    </row>
    <row r="266" spans="44:45" x14ac:dyDescent="0.35">
      <c r="AR266" s="13"/>
      <c r="AS266" s="13"/>
    </row>
    <row r="267" spans="44:45" x14ac:dyDescent="0.35">
      <c r="AR267" s="13"/>
      <c r="AS267" s="13"/>
    </row>
    <row r="268" spans="44:45" x14ac:dyDescent="0.35">
      <c r="AR268" s="13"/>
      <c r="AS268" s="13"/>
    </row>
    <row r="269" spans="44:45" x14ac:dyDescent="0.35">
      <c r="AR269" s="13"/>
      <c r="AS269" s="13"/>
    </row>
    <row r="270" spans="44:45" x14ac:dyDescent="0.35">
      <c r="AR270" s="13"/>
    </row>
    <row r="271" spans="44:45" x14ac:dyDescent="0.35">
      <c r="AR271" s="13"/>
    </row>
    <row r="272" spans="44:45" x14ac:dyDescent="0.35">
      <c r="AR272" s="13"/>
    </row>
    <row r="273" spans="44:44" x14ac:dyDescent="0.35">
      <c r="AR273" s="13"/>
    </row>
    <row r="274" spans="44:44" x14ac:dyDescent="0.35">
      <c r="AR274" s="13"/>
    </row>
    <row r="277" spans="44:44" x14ac:dyDescent="0.35">
      <c r="AR277" s="13"/>
    </row>
    <row r="280" spans="44:44" x14ac:dyDescent="0.35">
      <c r="AR280" s="13"/>
    </row>
    <row r="281" spans="44:44" x14ac:dyDescent="0.35">
      <c r="AR281" s="13"/>
    </row>
    <row r="282" spans="44:44" x14ac:dyDescent="0.35">
      <c r="AR282" s="13"/>
    </row>
    <row r="283" spans="44:44" x14ac:dyDescent="0.35">
      <c r="AR283" s="13"/>
    </row>
    <row r="284" spans="44:44" x14ac:dyDescent="0.35">
      <c r="AR284" s="13"/>
    </row>
    <row r="285" spans="44:44" x14ac:dyDescent="0.35">
      <c r="AR285" s="13"/>
    </row>
    <row r="286" spans="44:44" x14ac:dyDescent="0.35">
      <c r="AR286" s="13"/>
    </row>
    <row r="287" spans="44:44" x14ac:dyDescent="0.35">
      <c r="AR287" s="13"/>
    </row>
    <row r="288" spans="44:44" x14ac:dyDescent="0.35">
      <c r="AR288" s="13"/>
    </row>
    <row r="291" spans="44:44" x14ac:dyDescent="0.35">
      <c r="AR291" s="13"/>
    </row>
    <row r="293" spans="44:44" x14ac:dyDescent="0.35">
      <c r="AR293" s="13"/>
    </row>
  </sheetData>
  <dataConsolidate/>
  <mergeCells count="20">
    <mergeCell ref="AK4:AM4"/>
    <mergeCell ref="C5:G5"/>
    <mergeCell ref="C4:G4"/>
    <mergeCell ref="H4:K4"/>
    <mergeCell ref="T4:U4"/>
    <mergeCell ref="AF4:AI4"/>
    <mergeCell ref="AB4:AE4"/>
    <mergeCell ref="H6:K6"/>
    <mergeCell ref="T12:U12"/>
    <mergeCell ref="V13:X13"/>
    <mergeCell ref="Y14:AA14"/>
    <mergeCell ref="L7:R7"/>
    <mergeCell ref="AF15:AI15"/>
    <mergeCell ref="AK16:AM16"/>
    <mergeCell ref="H9:N9"/>
    <mergeCell ref="O10:Q10"/>
    <mergeCell ref="R11:S11"/>
    <mergeCell ref="L4:R4"/>
    <mergeCell ref="V4:X4"/>
    <mergeCell ref="Y4:AA4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1" orientation="landscape" verticalDpi="300" r:id="rId1"/>
  <headerFooter>
    <oddFooter xml:space="preserve">&amp;LRestricted </oddFooter>
    <evenFooter xml:space="preserve">&amp;LRestricted </evenFooter>
    <firstFooter xml:space="preserve">&amp;LRestricted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73B1-EED7-430F-AFD6-EDFC72D80C01}">
  <dimension ref="A1:AN22"/>
  <sheetViews>
    <sheetView view="pageBreakPreview" zoomScale="60" zoomScaleNormal="55" workbookViewId="0">
      <selection activeCell="E12" sqref="E12"/>
    </sheetView>
  </sheetViews>
  <sheetFormatPr defaultRowHeight="14.5" x14ac:dyDescent="0.35"/>
  <cols>
    <col min="1" max="1" width="63.1796875" customWidth="1"/>
    <col min="2" max="38" width="7.6328125" customWidth="1"/>
    <col min="39" max="39" width="1.90625" customWidth="1"/>
    <col min="40" max="40" width="16.81640625" bestFit="1" customWidth="1"/>
  </cols>
  <sheetData>
    <row r="1" spans="1:40" x14ac:dyDescent="0.35">
      <c r="A1" s="6" t="s">
        <v>426</v>
      </c>
      <c r="B1" s="128">
        <v>1</v>
      </c>
      <c r="C1" s="128">
        <v>2</v>
      </c>
      <c r="D1" s="128">
        <v>3</v>
      </c>
      <c r="E1" s="128">
        <v>4</v>
      </c>
      <c r="F1" s="128">
        <v>5</v>
      </c>
      <c r="G1" s="128">
        <v>6</v>
      </c>
      <c r="H1" s="128">
        <v>7</v>
      </c>
      <c r="I1" s="128">
        <v>8</v>
      </c>
      <c r="J1" s="128">
        <v>9</v>
      </c>
      <c r="K1" s="128">
        <v>10</v>
      </c>
      <c r="L1" s="128">
        <v>11</v>
      </c>
      <c r="M1" s="128">
        <v>12</v>
      </c>
      <c r="N1" s="128">
        <v>13</v>
      </c>
      <c r="O1" s="128">
        <v>14</v>
      </c>
      <c r="P1" s="128">
        <v>15</v>
      </c>
      <c r="Q1" s="128">
        <v>16</v>
      </c>
      <c r="R1" s="128">
        <v>17</v>
      </c>
      <c r="S1" s="128">
        <v>18</v>
      </c>
      <c r="T1" s="128">
        <v>19</v>
      </c>
      <c r="U1" s="128">
        <v>20</v>
      </c>
      <c r="V1" s="128">
        <v>21</v>
      </c>
      <c r="W1" s="128">
        <v>22</v>
      </c>
      <c r="X1" s="128">
        <v>23</v>
      </c>
      <c r="Y1" s="128">
        <v>24</v>
      </c>
      <c r="Z1" s="128">
        <v>25</v>
      </c>
      <c r="AA1" s="128">
        <v>26</v>
      </c>
      <c r="AB1" s="128">
        <v>27</v>
      </c>
      <c r="AC1" s="128">
        <v>28</v>
      </c>
      <c r="AD1" s="128">
        <v>29</v>
      </c>
      <c r="AE1" s="128">
        <v>30</v>
      </c>
      <c r="AF1" s="128">
        <v>31</v>
      </c>
      <c r="AG1" s="128">
        <v>32</v>
      </c>
      <c r="AH1" s="128">
        <v>33</v>
      </c>
      <c r="AI1" s="128">
        <v>34</v>
      </c>
      <c r="AJ1" s="128">
        <v>35</v>
      </c>
      <c r="AK1" s="128">
        <v>36</v>
      </c>
      <c r="AL1" s="128">
        <v>37</v>
      </c>
    </row>
    <row r="2" spans="1:40" x14ac:dyDescent="0.35">
      <c r="A2" s="6" t="s">
        <v>427</v>
      </c>
      <c r="B2" s="125">
        <v>44743</v>
      </c>
      <c r="C2" s="125">
        <v>44774</v>
      </c>
      <c r="D2" s="125">
        <v>44805</v>
      </c>
      <c r="E2" s="125">
        <v>44835</v>
      </c>
      <c r="F2" s="125">
        <v>44866</v>
      </c>
      <c r="G2" s="125">
        <v>44896</v>
      </c>
      <c r="H2" s="125">
        <v>44927</v>
      </c>
      <c r="I2" s="125">
        <v>44958</v>
      </c>
      <c r="J2" s="125">
        <v>44986</v>
      </c>
      <c r="K2" s="125">
        <v>45017</v>
      </c>
      <c r="L2" s="125">
        <v>45047</v>
      </c>
      <c r="M2" s="125">
        <v>45078</v>
      </c>
      <c r="N2" s="125">
        <v>45108</v>
      </c>
      <c r="O2" s="125">
        <v>45139</v>
      </c>
      <c r="P2" s="125">
        <v>45170</v>
      </c>
      <c r="Q2" s="125">
        <v>45200</v>
      </c>
      <c r="R2" s="125">
        <v>45231</v>
      </c>
      <c r="S2" s="125">
        <v>45261</v>
      </c>
      <c r="T2" s="125">
        <v>45292</v>
      </c>
      <c r="U2" s="125">
        <v>45323</v>
      </c>
      <c r="V2" s="125">
        <v>45352</v>
      </c>
      <c r="W2" s="125">
        <v>45383</v>
      </c>
      <c r="X2" s="125">
        <v>45413</v>
      </c>
      <c r="Y2" s="125">
        <v>45444</v>
      </c>
      <c r="Z2" s="125">
        <v>45474</v>
      </c>
      <c r="AA2" s="125">
        <v>45505</v>
      </c>
      <c r="AB2" s="125">
        <v>45536</v>
      </c>
      <c r="AC2" s="125">
        <v>45566</v>
      </c>
      <c r="AD2" s="125">
        <v>45597</v>
      </c>
      <c r="AE2" s="125">
        <v>45627</v>
      </c>
      <c r="AF2" s="125">
        <v>45658</v>
      </c>
      <c r="AG2" s="125">
        <v>45689</v>
      </c>
      <c r="AH2" s="125">
        <v>45717</v>
      </c>
      <c r="AI2" s="125">
        <v>45748</v>
      </c>
      <c r="AJ2" s="125" t="s">
        <v>2</v>
      </c>
      <c r="AK2" s="125">
        <v>45809</v>
      </c>
      <c r="AL2" s="125">
        <v>45839</v>
      </c>
    </row>
    <row r="3" spans="1:40" x14ac:dyDescent="0.35">
      <c r="A3" s="6"/>
      <c r="B3" s="145" t="s">
        <v>9</v>
      </c>
      <c r="C3" s="145"/>
      <c r="D3" s="145"/>
      <c r="E3" s="145"/>
      <c r="F3" s="145"/>
      <c r="G3" s="139" t="s">
        <v>10</v>
      </c>
      <c r="H3" s="139"/>
      <c r="I3" s="139"/>
      <c r="J3" s="139"/>
      <c r="K3" s="140" t="s">
        <v>11</v>
      </c>
      <c r="L3" s="141"/>
      <c r="M3" s="141"/>
      <c r="N3" s="141"/>
      <c r="O3" s="141"/>
      <c r="P3" s="141"/>
      <c r="Q3" s="142"/>
      <c r="R3" s="123" t="s">
        <v>12</v>
      </c>
      <c r="S3" s="146" t="s">
        <v>13</v>
      </c>
      <c r="T3" s="146"/>
      <c r="U3" s="143" t="s">
        <v>14</v>
      </c>
      <c r="V3" s="143"/>
      <c r="W3" s="143"/>
      <c r="X3" s="144" t="s">
        <v>15</v>
      </c>
      <c r="Y3" s="144"/>
      <c r="Z3" s="144"/>
      <c r="AA3" s="147" t="s">
        <v>16</v>
      </c>
      <c r="AB3" s="148"/>
      <c r="AC3" s="148"/>
      <c r="AD3" s="149"/>
      <c r="AE3" s="150" t="s">
        <v>17</v>
      </c>
      <c r="AF3" s="150"/>
      <c r="AG3" s="150"/>
      <c r="AH3" s="150"/>
      <c r="AI3" s="124" t="s">
        <v>18</v>
      </c>
      <c r="AJ3" s="139" t="s">
        <v>19</v>
      </c>
      <c r="AK3" s="139"/>
      <c r="AL3" s="139"/>
    </row>
    <row r="4" spans="1:40" x14ac:dyDescent="0.35">
      <c r="A4" s="6" t="s">
        <v>425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19"/>
      <c r="AJ4" s="6"/>
      <c r="AK4" s="6"/>
      <c r="AL4" s="6"/>
      <c r="AN4" s="6" t="s">
        <v>428</v>
      </c>
    </row>
    <row r="5" spans="1:40" x14ac:dyDescent="0.35">
      <c r="A5" s="130" t="s">
        <v>30</v>
      </c>
      <c r="B5" s="131">
        <f>'PM &amp; Common'!C18/160</f>
        <v>0</v>
      </c>
      <c r="C5" s="131">
        <f>'PM &amp; Common'!D18/160</f>
        <v>0</v>
      </c>
      <c r="D5" s="131">
        <f>'PM &amp; Common'!E18/160</f>
        <v>0</v>
      </c>
      <c r="E5" s="131">
        <f>'PM &amp; Common'!F18/160</f>
        <v>0</v>
      </c>
      <c r="F5" s="131">
        <f>'PM &amp; Common'!G18/160</f>
        <v>0</v>
      </c>
      <c r="G5" s="131">
        <f>'PM &amp; Common'!H18/160</f>
        <v>0</v>
      </c>
      <c r="H5" s="131">
        <f>'PM &amp; Common'!I18/160</f>
        <v>0</v>
      </c>
      <c r="I5" s="131">
        <f>'PM &amp; Common'!J18/160</f>
        <v>0</v>
      </c>
      <c r="J5" s="131">
        <f>'PM &amp; Common'!K18/160</f>
        <v>0</v>
      </c>
      <c r="K5" s="131">
        <f>'PM &amp; Common'!L18/160</f>
        <v>0</v>
      </c>
      <c r="L5" s="131">
        <f>'PM &amp; Common'!M18/160</f>
        <v>0</v>
      </c>
      <c r="M5" s="131">
        <f>'PM &amp; Common'!N18/160</f>
        <v>0</v>
      </c>
      <c r="N5" s="131">
        <f>'PM &amp; Common'!O18/160</f>
        <v>0</v>
      </c>
      <c r="O5" s="131">
        <f>'PM &amp; Common'!P18/160</f>
        <v>0</v>
      </c>
      <c r="P5" s="131">
        <f>'PM &amp; Common'!Q18/160</f>
        <v>0</v>
      </c>
      <c r="Q5" s="131">
        <f>'PM &amp; Common'!R18/160</f>
        <v>0</v>
      </c>
      <c r="R5" s="131">
        <f>'PM &amp; Common'!S18/160</f>
        <v>0</v>
      </c>
      <c r="S5" s="131">
        <f>'PM &amp; Common'!T18/160</f>
        <v>0</v>
      </c>
      <c r="T5" s="131">
        <f>'PM &amp; Common'!U18/160</f>
        <v>0</v>
      </c>
      <c r="U5" s="131">
        <f>'PM &amp; Common'!V18/160</f>
        <v>0</v>
      </c>
      <c r="V5" s="131">
        <f>'PM &amp; Common'!W18/160</f>
        <v>0</v>
      </c>
      <c r="W5" s="131">
        <f>'PM &amp; Common'!X18/160</f>
        <v>0</v>
      </c>
      <c r="X5" s="131">
        <f>'PM &amp; Common'!Y18/160</f>
        <v>0</v>
      </c>
      <c r="Y5" s="131">
        <f>'PM &amp; Common'!Z18/160</f>
        <v>0</v>
      </c>
      <c r="Z5" s="131">
        <f>'PM &amp; Common'!AA18/160</f>
        <v>0</v>
      </c>
      <c r="AA5" s="131">
        <f>'PM &amp; Common'!AB18/160</f>
        <v>0</v>
      </c>
      <c r="AB5" s="131">
        <f>'PM &amp; Common'!AC18/160</f>
        <v>0</v>
      </c>
      <c r="AC5" s="131">
        <f>'PM &amp; Common'!AD18/160</f>
        <v>0</v>
      </c>
      <c r="AD5" s="131">
        <f>'PM &amp; Common'!AE18/160</f>
        <v>0</v>
      </c>
      <c r="AE5" s="131">
        <f>'PM &amp; Common'!AF18/160</f>
        <v>0</v>
      </c>
      <c r="AF5" s="131">
        <f>'PM &amp; Common'!AG18/160</f>
        <v>0</v>
      </c>
      <c r="AG5" s="131">
        <f>'PM &amp; Common'!AH18/160</f>
        <v>0</v>
      </c>
      <c r="AH5" s="131">
        <f>'PM &amp; Common'!AI18/160</f>
        <v>0</v>
      </c>
      <c r="AI5" s="131">
        <f>'PM &amp; Common'!AJ18/160</f>
        <v>0</v>
      </c>
      <c r="AJ5" s="131">
        <f>'PM &amp; Common'!AK18/160</f>
        <v>0</v>
      </c>
      <c r="AK5" s="131">
        <f>'PM &amp; Common'!AL18/160</f>
        <v>0</v>
      </c>
      <c r="AL5" s="131">
        <f>'PM &amp; Common'!AM18/160</f>
        <v>0</v>
      </c>
      <c r="AM5" s="137"/>
      <c r="AN5" s="136">
        <f>SUM(B5:AL5)/37</f>
        <v>0</v>
      </c>
    </row>
    <row r="6" spans="1:40" x14ac:dyDescent="0.35">
      <c r="A6" s="130" t="s">
        <v>60</v>
      </c>
      <c r="B6" s="131">
        <f>'PM &amp; Common'!C49/160</f>
        <v>0</v>
      </c>
      <c r="C6" s="131">
        <f>'PM &amp; Common'!D49/160</f>
        <v>0</v>
      </c>
      <c r="D6" s="131">
        <f>'PM &amp; Common'!E49/160</f>
        <v>0</v>
      </c>
      <c r="E6" s="131">
        <f>'PM &amp; Common'!F49/160</f>
        <v>0</v>
      </c>
      <c r="F6" s="131">
        <f>'PM &amp; Common'!G49/160</f>
        <v>0</v>
      </c>
      <c r="G6" s="131">
        <f>'PM &amp; Common'!H49/160</f>
        <v>0</v>
      </c>
      <c r="H6" s="131">
        <f>'PM &amp; Common'!I49/160</f>
        <v>0</v>
      </c>
      <c r="I6" s="131">
        <f>'PM &amp; Common'!J49/160</f>
        <v>0</v>
      </c>
      <c r="J6" s="131">
        <f>'PM &amp; Common'!K49/160</f>
        <v>0</v>
      </c>
      <c r="K6" s="131">
        <f>'PM &amp; Common'!L49/160</f>
        <v>0</v>
      </c>
      <c r="L6" s="131">
        <f>'PM &amp; Common'!M49/160</f>
        <v>0</v>
      </c>
      <c r="M6" s="131">
        <f>'PM &amp; Common'!N49/160</f>
        <v>0</v>
      </c>
      <c r="N6" s="131">
        <f>'PM &amp; Common'!O49/160</f>
        <v>0</v>
      </c>
      <c r="O6" s="131">
        <f>'PM &amp; Common'!P49/160</f>
        <v>0</v>
      </c>
      <c r="P6" s="131">
        <f>'PM &amp; Common'!Q49/160</f>
        <v>0</v>
      </c>
      <c r="Q6" s="131">
        <f>'PM &amp; Common'!R49/160</f>
        <v>0</v>
      </c>
      <c r="R6" s="131">
        <f>'PM &amp; Common'!S49/160</f>
        <v>0</v>
      </c>
      <c r="S6" s="131">
        <f>'PM &amp; Common'!T49/160</f>
        <v>0</v>
      </c>
      <c r="T6" s="131">
        <f>'PM &amp; Common'!U49/160</f>
        <v>0</v>
      </c>
      <c r="U6" s="131">
        <f>'PM &amp; Common'!V49/160</f>
        <v>0</v>
      </c>
      <c r="V6" s="131">
        <f>'PM &amp; Common'!W49/160</f>
        <v>0</v>
      </c>
      <c r="W6" s="131">
        <f>'PM &amp; Common'!X49/160</f>
        <v>0</v>
      </c>
      <c r="X6" s="131">
        <f>'PM &amp; Common'!Y49/160</f>
        <v>0</v>
      </c>
      <c r="Y6" s="131">
        <f>'PM &amp; Common'!Z49/160</f>
        <v>0</v>
      </c>
      <c r="Z6" s="131">
        <f>'PM &amp; Common'!AA49/160</f>
        <v>0</v>
      </c>
      <c r="AA6" s="131">
        <f>'PM &amp; Common'!AB49/160</f>
        <v>0</v>
      </c>
      <c r="AB6" s="131">
        <f>'PM &amp; Common'!AC49/160</f>
        <v>0</v>
      </c>
      <c r="AC6" s="131">
        <f>'PM &amp; Common'!AD49/160</f>
        <v>0</v>
      </c>
      <c r="AD6" s="131">
        <f>'PM &amp; Common'!AE49/160</f>
        <v>0</v>
      </c>
      <c r="AE6" s="131">
        <f>'PM &amp; Common'!AF49/160</f>
        <v>0</v>
      </c>
      <c r="AF6" s="131">
        <f>'PM &amp; Common'!AG49/160</f>
        <v>0</v>
      </c>
      <c r="AG6" s="131">
        <f>'PM &amp; Common'!AH49/160</f>
        <v>0</v>
      </c>
      <c r="AH6" s="131">
        <f>'PM &amp; Common'!AI49/160</f>
        <v>0</v>
      </c>
      <c r="AI6" s="131">
        <f>'PM &amp; Common'!AJ49/160</f>
        <v>0</v>
      </c>
      <c r="AJ6" s="131">
        <f>'PM &amp; Common'!AK49/160</f>
        <v>0</v>
      </c>
      <c r="AK6" s="131">
        <f>'PM &amp; Common'!AL49/160</f>
        <v>0</v>
      </c>
      <c r="AL6" s="131">
        <f>'PM &amp; Common'!AM49/160</f>
        <v>0</v>
      </c>
      <c r="AM6" s="137"/>
      <c r="AN6" s="136">
        <f t="shared" ref="AN6:AN22" si="0">SUM(B6:AL6)/37</f>
        <v>0</v>
      </c>
    </row>
    <row r="7" spans="1:40" ht="29" x14ac:dyDescent="0.35">
      <c r="A7" s="130" t="s">
        <v>78</v>
      </c>
      <c r="B7" s="131">
        <f>'PM &amp; Common'!C92/160</f>
        <v>0</v>
      </c>
      <c r="C7" s="131">
        <f>'PM &amp; Common'!D92/160</f>
        <v>0</v>
      </c>
      <c r="D7" s="131">
        <f>'PM &amp; Common'!E92/160</f>
        <v>0</v>
      </c>
      <c r="E7" s="131">
        <f>'PM &amp; Common'!F92/160</f>
        <v>0</v>
      </c>
      <c r="F7" s="131">
        <f>'PM &amp; Common'!G92/160</f>
        <v>0</v>
      </c>
      <c r="G7" s="131">
        <f>'PM &amp; Common'!H92/160</f>
        <v>0</v>
      </c>
      <c r="H7" s="131">
        <f>'PM &amp; Common'!I92/160</f>
        <v>0</v>
      </c>
      <c r="I7" s="131">
        <f>'PM &amp; Common'!J92/160</f>
        <v>0</v>
      </c>
      <c r="J7" s="131">
        <f>'PM &amp; Common'!K92/160</f>
        <v>0</v>
      </c>
      <c r="K7" s="131">
        <f>'PM &amp; Common'!L92/160</f>
        <v>0</v>
      </c>
      <c r="L7" s="131">
        <f>'PM &amp; Common'!M92/160</f>
        <v>0</v>
      </c>
      <c r="M7" s="131">
        <f>'PM &amp; Common'!N92/160</f>
        <v>0</v>
      </c>
      <c r="N7" s="131">
        <f>'PM &amp; Common'!O92/160</f>
        <v>0</v>
      </c>
      <c r="O7" s="131">
        <f>'PM &amp; Common'!P92/160</f>
        <v>0</v>
      </c>
      <c r="P7" s="131">
        <f>'PM &amp; Common'!Q92/160</f>
        <v>0</v>
      </c>
      <c r="Q7" s="131">
        <f>'PM &amp; Common'!R92/160</f>
        <v>0</v>
      </c>
      <c r="R7" s="131">
        <f>'PM &amp; Common'!S92/160</f>
        <v>0</v>
      </c>
      <c r="S7" s="131">
        <f>'PM &amp; Common'!T92/160</f>
        <v>0</v>
      </c>
      <c r="T7" s="131">
        <f>'PM &amp; Common'!U92/160</f>
        <v>0</v>
      </c>
      <c r="U7" s="131">
        <f>'PM &amp; Common'!V92/160</f>
        <v>0</v>
      </c>
      <c r="V7" s="131">
        <f>'PM &amp; Common'!W92/160</f>
        <v>0</v>
      </c>
      <c r="W7" s="131">
        <f>'PM &amp; Common'!X92/160</f>
        <v>0</v>
      </c>
      <c r="X7" s="131">
        <f>'PM &amp; Common'!Y92/160</f>
        <v>0</v>
      </c>
      <c r="Y7" s="131">
        <f>'PM &amp; Common'!Z92/160</f>
        <v>0</v>
      </c>
      <c r="Z7" s="131">
        <f>'PM &amp; Common'!AA92/160</f>
        <v>0</v>
      </c>
      <c r="AA7" s="131">
        <f>'PM &amp; Common'!AB92/160</f>
        <v>0</v>
      </c>
      <c r="AB7" s="131">
        <f>'PM &amp; Common'!AC92/160</f>
        <v>0</v>
      </c>
      <c r="AC7" s="131">
        <f>'PM &amp; Common'!AD92/160</f>
        <v>0</v>
      </c>
      <c r="AD7" s="131">
        <f>'PM &amp; Common'!AE92/160</f>
        <v>0</v>
      </c>
      <c r="AE7" s="131">
        <f>'PM &amp; Common'!AF92/160</f>
        <v>0</v>
      </c>
      <c r="AF7" s="131">
        <f>'PM &amp; Common'!AG92/160</f>
        <v>0</v>
      </c>
      <c r="AG7" s="131">
        <f>'PM &amp; Common'!AH92/160</f>
        <v>0</v>
      </c>
      <c r="AH7" s="131">
        <f>'PM &amp; Common'!AI92/160</f>
        <v>0</v>
      </c>
      <c r="AI7" s="131">
        <f>'PM &amp; Common'!AJ92/160</f>
        <v>0</v>
      </c>
      <c r="AJ7" s="131">
        <f>'PM &amp; Common'!AK92/160</f>
        <v>0</v>
      </c>
      <c r="AK7" s="131">
        <f>'PM &amp; Common'!AL92/160</f>
        <v>0</v>
      </c>
      <c r="AL7" s="131">
        <f>'PM &amp; Common'!AM92/160</f>
        <v>0</v>
      </c>
      <c r="AM7" s="137"/>
      <c r="AN7" s="136">
        <f t="shared" si="0"/>
        <v>0</v>
      </c>
    </row>
    <row r="8" spans="1:40" x14ac:dyDescent="0.35">
      <c r="A8" s="130" t="s">
        <v>91</v>
      </c>
      <c r="B8" s="131">
        <f>'PM &amp; Common'!C118/160</f>
        <v>0</v>
      </c>
      <c r="C8" s="131">
        <f>'PM &amp; Common'!D118/160</f>
        <v>0</v>
      </c>
      <c r="D8" s="131">
        <f>'PM &amp; Common'!E118/160</f>
        <v>0</v>
      </c>
      <c r="E8" s="131">
        <f>'PM &amp; Common'!F118/160</f>
        <v>0</v>
      </c>
      <c r="F8" s="131">
        <f>'PM &amp; Common'!G118/160</f>
        <v>0</v>
      </c>
      <c r="G8" s="131">
        <f>'PM &amp; Common'!H118/160</f>
        <v>0</v>
      </c>
      <c r="H8" s="131">
        <f>'PM &amp; Common'!I118/160</f>
        <v>0</v>
      </c>
      <c r="I8" s="131">
        <f>'PM &amp; Common'!J118/160</f>
        <v>0</v>
      </c>
      <c r="J8" s="131">
        <f>'PM &amp; Common'!K118/160</f>
        <v>0</v>
      </c>
      <c r="K8" s="131">
        <f>'PM &amp; Common'!L118/160</f>
        <v>0</v>
      </c>
      <c r="L8" s="131">
        <f>'PM &amp; Common'!M118/160</f>
        <v>0</v>
      </c>
      <c r="M8" s="131">
        <f>'PM &amp; Common'!N118/160</f>
        <v>0</v>
      </c>
      <c r="N8" s="131">
        <f>'PM &amp; Common'!O118/160</f>
        <v>0</v>
      </c>
      <c r="O8" s="131">
        <f>'PM &amp; Common'!P118/160</f>
        <v>0</v>
      </c>
      <c r="P8" s="131">
        <f>'PM &amp; Common'!Q118/160</f>
        <v>0</v>
      </c>
      <c r="Q8" s="131">
        <f>'PM &amp; Common'!R118/160</f>
        <v>0</v>
      </c>
      <c r="R8" s="131">
        <f>'PM &amp; Common'!S118/160</f>
        <v>0</v>
      </c>
      <c r="S8" s="131">
        <f>'PM &amp; Common'!T118/160</f>
        <v>0</v>
      </c>
      <c r="T8" s="131">
        <f>'PM &amp; Common'!U118/160</f>
        <v>0</v>
      </c>
      <c r="U8" s="131">
        <f>'PM &amp; Common'!V118/160</f>
        <v>0</v>
      </c>
      <c r="V8" s="131">
        <f>'PM &amp; Common'!W118/160</f>
        <v>0</v>
      </c>
      <c r="W8" s="131">
        <f>'PM &amp; Common'!X118/160</f>
        <v>0</v>
      </c>
      <c r="X8" s="131">
        <f>'PM &amp; Common'!Y118/160</f>
        <v>0</v>
      </c>
      <c r="Y8" s="131">
        <f>'PM &amp; Common'!Z118/160</f>
        <v>0</v>
      </c>
      <c r="Z8" s="131">
        <f>'PM &amp; Common'!AA118/160</f>
        <v>0</v>
      </c>
      <c r="AA8" s="131">
        <f>'PM &amp; Common'!AB118/160</f>
        <v>0</v>
      </c>
      <c r="AB8" s="131">
        <f>'PM &amp; Common'!AC118/160</f>
        <v>0</v>
      </c>
      <c r="AC8" s="131">
        <f>'PM &amp; Common'!AD118/160</f>
        <v>0</v>
      </c>
      <c r="AD8" s="131">
        <f>'PM &amp; Common'!AE118/160</f>
        <v>0</v>
      </c>
      <c r="AE8" s="131">
        <f>'PM &amp; Common'!AF118/160</f>
        <v>0</v>
      </c>
      <c r="AF8" s="131">
        <f>'PM &amp; Common'!AG118/160</f>
        <v>0</v>
      </c>
      <c r="AG8" s="131">
        <f>'PM &amp; Common'!AH118/160</f>
        <v>0</v>
      </c>
      <c r="AH8" s="131">
        <f>'PM &amp; Common'!AI118/160</f>
        <v>0</v>
      </c>
      <c r="AI8" s="131">
        <f>'PM &amp; Common'!AJ118/160</f>
        <v>0</v>
      </c>
      <c r="AJ8" s="131">
        <f>'PM &amp; Common'!AK118/160</f>
        <v>0</v>
      </c>
      <c r="AK8" s="131">
        <f>'PM &amp; Common'!AL118/160</f>
        <v>0</v>
      </c>
      <c r="AL8" s="131">
        <f>'PM &amp; Common'!AM118/160</f>
        <v>0</v>
      </c>
      <c r="AM8" s="137"/>
      <c r="AN8" s="136">
        <f t="shared" si="0"/>
        <v>0</v>
      </c>
    </row>
    <row r="9" spans="1:40" x14ac:dyDescent="0.35">
      <c r="A9" s="130" t="s">
        <v>96</v>
      </c>
      <c r="B9" s="131">
        <f>'PM &amp; Common'!C124/160</f>
        <v>0</v>
      </c>
      <c r="C9" s="131">
        <f>'PM &amp; Common'!D124/160</f>
        <v>0</v>
      </c>
      <c r="D9" s="131">
        <f>'PM &amp; Common'!E124/160</f>
        <v>0</v>
      </c>
      <c r="E9" s="131">
        <f>'PM &amp; Common'!F124/160</f>
        <v>0</v>
      </c>
      <c r="F9" s="131">
        <f>'PM &amp; Common'!G124/160</f>
        <v>0</v>
      </c>
      <c r="G9" s="131">
        <f>'PM &amp; Common'!H124/160</f>
        <v>0</v>
      </c>
      <c r="H9" s="131">
        <f>'PM &amp; Common'!I124/160</f>
        <v>0</v>
      </c>
      <c r="I9" s="131">
        <f>'PM &amp; Common'!J124/160</f>
        <v>0</v>
      </c>
      <c r="J9" s="131">
        <f>'PM &amp; Common'!K124/160</f>
        <v>0</v>
      </c>
      <c r="K9" s="131">
        <f>'PM &amp; Common'!L124/160</f>
        <v>0</v>
      </c>
      <c r="L9" s="131">
        <f>'PM &amp; Common'!M124/160</f>
        <v>0</v>
      </c>
      <c r="M9" s="131">
        <f>'PM &amp; Common'!N124/160</f>
        <v>0</v>
      </c>
      <c r="N9" s="131">
        <f>'PM &amp; Common'!O124/160</f>
        <v>0</v>
      </c>
      <c r="O9" s="131">
        <f>'PM &amp; Common'!P124/160</f>
        <v>0</v>
      </c>
      <c r="P9" s="131">
        <f>'PM &amp; Common'!Q124/160</f>
        <v>0</v>
      </c>
      <c r="Q9" s="131">
        <f>'PM &amp; Common'!R124/160</f>
        <v>0</v>
      </c>
      <c r="R9" s="131">
        <f>'PM &amp; Common'!S124/160</f>
        <v>0</v>
      </c>
      <c r="S9" s="131">
        <f>'PM &amp; Common'!T124/160</f>
        <v>0</v>
      </c>
      <c r="T9" s="131">
        <f>'PM &amp; Common'!U124/160</f>
        <v>0</v>
      </c>
      <c r="U9" s="131">
        <f>'PM &amp; Common'!V124/160</f>
        <v>0</v>
      </c>
      <c r="V9" s="131">
        <f>'PM &amp; Common'!W124/160</f>
        <v>0</v>
      </c>
      <c r="W9" s="131">
        <f>'PM &amp; Common'!X124/160</f>
        <v>0</v>
      </c>
      <c r="X9" s="131">
        <f>'PM &amp; Common'!Y124/160</f>
        <v>0</v>
      </c>
      <c r="Y9" s="131">
        <f>'PM &amp; Common'!Z124/160</f>
        <v>0</v>
      </c>
      <c r="Z9" s="131">
        <f>'PM &amp; Common'!AA124/160</f>
        <v>0</v>
      </c>
      <c r="AA9" s="131">
        <f>'PM &amp; Common'!AB124/160</f>
        <v>0</v>
      </c>
      <c r="AB9" s="131">
        <f>'PM &amp; Common'!AC124/160</f>
        <v>0</v>
      </c>
      <c r="AC9" s="131">
        <f>'PM &amp; Common'!AD124/160</f>
        <v>0</v>
      </c>
      <c r="AD9" s="131">
        <f>'PM &amp; Common'!AE124/160</f>
        <v>0</v>
      </c>
      <c r="AE9" s="131">
        <f>'PM &amp; Common'!AF124/160</f>
        <v>0</v>
      </c>
      <c r="AF9" s="131">
        <f>'PM &amp; Common'!AG124/160</f>
        <v>0</v>
      </c>
      <c r="AG9" s="131">
        <f>'PM &amp; Common'!AH124/160</f>
        <v>0</v>
      </c>
      <c r="AH9" s="131">
        <f>'PM &amp; Common'!AI124/160</f>
        <v>0</v>
      </c>
      <c r="AI9" s="131">
        <f>'PM &amp; Common'!AJ124/160</f>
        <v>0</v>
      </c>
      <c r="AJ9" s="131">
        <f>'PM &amp; Common'!AK124/160</f>
        <v>0</v>
      </c>
      <c r="AK9" s="131">
        <f>'PM &amp; Common'!AL124/160</f>
        <v>0</v>
      </c>
      <c r="AL9" s="131">
        <f>'PM &amp; Common'!AM124/160</f>
        <v>0</v>
      </c>
      <c r="AM9" s="137"/>
      <c r="AN9" s="136">
        <f t="shared" si="0"/>
        <v>0</v>
      </c>
    </row>
    <row r="10" spans="1:40" x14ac:dyDescent="0.35">
      <c r="A10" s="130" t="s">
        <v>105</v>
      </c>
      <c r="B10" s="131">
        <f>'PM &amp; Common'!C135/160</f>
        <v>0</v>
      </c>
      <c r="C10" s="131">
        <f>'PM &amp; Common'!D135/160</f>
        <v>0</v>
      </c>
      <c r="D10" s="131">
        <f>'PM &amp; Common'!E135/160</f>
        <v>0</v>
      </c>
      <c r="E10" s="131">
        <f>'PM &amp; Common'!F135/160</f>
        <v>0</v>
      </c>
      <c r="F10" s="131">
        <f>'PM &amp; Common'!G135/160</f>
        <v>0</v>
      </c>
      <c r="G10" s="131">
        <f>'PM &amp; Common'!H135/160</f>
        <v>0</v>
      </c>
      <c r="H10" s="131">
        <f>'PM &amp; Common'!I135/160</f>
        <v>0</v>
      </c>
      <c r="I10" s="131">
        <f>'PM &amp; Common'!J135/160</f>
        <v>0</v>
      </c>
      <c r="J10" s="131">
        <f>'PM &amp; Common'!K135/160</f>
        <v>0</v>
      </c>
      <c r="K10" s="131">
        <f>'PM &amp; Common'!L135/160</f>
        <v>0</v>
      </c>
      <c r="L10" s="131">
        <f>'PM &amp; Common'!M135/160</f>
        <v>0</v>
      </c>
      <c r="M10" s="131">
        <f>'PM &amp; Common'!N135/160</f>
        <v>0</v>
      </c>
      <c r="N10" s="131">
        <f>'PM &amp; Common'!O135/160</f>
        <v>0</v>
      </c>
      <c r="O10" s="131">
        <f>'PM &amp; Common'!P135/160</f>
        <v>0</v>
      </c>
      <c r="P10" s="131">
        <f>'PM &amp; Common'!Q135/160</f>
        <v>0</v>
      </c>
      <c r="Q10" s="131">
        <f>'PM &amp; Common'!R135/160</f>
        <v>0</v>
      </c>
      <c r="R10" s="131">
        <f>'PM &amp; Common'!S135/160</f>
        <v>0</v>
      </c>
      <c r="S10" s="131">
        <f>'PM &amp; Common'!T135/160</f>
        <v>0</v>
      </c>
      <c r="T10" s="131">
        <f>'PM &amp; Common'!U135/160</f>
        <v>0</v>
      </c>
      <c r="U10" s="131">
        <f>'PM &amp; Common'!V135/160</f>
        <v>0</v>
      </c>
      <c r="V10" s="131">
        <f>'PM &amp; Common'!W135/160</f>
        <v>0</v>
      </c>
      <c r="W10" s="131">
        <f>'PM &amp; Common'!X135/160</f>
        <v>0</v>
      </c>
      <c r="X10" s="131">
        <f>'PM &amp; Common'!Y135/160</f>
        <v>0</v>
      </c>
      <c r="Y10" s="131">
        <f>'PM &amp; Common'!Z135/160</f>
        <v>0</v>
      </c>
      <c r="Z10" s="131">
        <f>'PM &amp; Common'!AA135/160</f>
        <v>0</v>
      </c>
      <c r="AA10" s="131">
        <f>'PM &amp; Common'!AB135/160</f>
        <v>0</v>
      </c>
      <c r="AB10" s="131">
        <f>'PM &amp; Common'!AC135/160</f>
        <v>0</v>
      </c>
      <c r="AC10" s="131">
        <f>'PM &amp; Common'!AD135/160</f>
        <v>0</v>
      </c>
      <c r="AD10" s="131">
        <f>'PM &amp; Common'!AE135/160</f>
        <v>0</v>
      </c>
      <c r="AE10" s="131">
        <f>'PM &amp; Common'!AF135/160</f>
        <v>0</v>
      </c>
      <c r="AF10" s="131">
        <f>'PM &amp; Common'!AG135/160</f>
        <v>0</v>
      </c>
      <c r="AG10" s="131">
        <f>'PM &amp; Common'!AH135/160</f>
        <v>0</v>
      </c>
      <c r="AH10" s="131">
        <f>'PM &amp; Common'!AI135/160</f>
        <v>0</v>
      </c>
      <c r="AI10" s="131">
        <f>'PM &amp; Common'!AJ135/160</f>
        <v>0</v>
      </c>
      <c r="AJ10" s="131">
        <f>'PM &amp; Common'!AK135/160</f>
        <v>0</v>
      </c>
      <c r="AK10" s="131">
        <f>'PM &amp; Common'!AL135/160</f>
        <v>0</v>
      </c>
      <c r="AL10" s="131">
        <f>'PM &amp; Common'!AM135/160</f>
        <v>0</v>
      </c>
      <c r="AM10" s="137"/>
      <c r="AN10" s="136">
        <f t="shared" si="0"/>
        <v>0</v>
      </c>
    </row>
    <row r="11" spans="1:40" x14ac:dyDescent="0.35">
      <c r="A11" s="130" t="s">
        <v>111</v>
      </c>
      <c r="B11" s="131">
        <f>'PM &amp; Common'!C141/160</f>
        <v>0</v>
      </c>
      <c r="C11" s="131">
        <f>'PM &amp; Common'!D141/160</f>
        <v>0</v>
      </c>
      <c r="D11" s="131">
        <f>'PM &amp; Common'!E141/160</f>
        <v>0</v>
      </c>
      <c r="E11" s="131">
        <f>'PM &amp; Common'!F141/160</f>
        <v>0</v>
      </c>
      <c r="F11" s="131">
        <f>'PM &amp; Common'!G141/160</f>
        <v>0</v>
      </c>
      <c r="G11" s="131">
        <f>'PM &amp; Common'!H141/160</f>
        <v>0</v>
      </c>
      <c r="H11" s="131">
        <f>'PM &amp; Common'!I141/160</f>
        <v>0</v>
      </c>
      <c r="I11" s="131">
        <f>'PM &amp; Common'!J141/160</f>
        <v>0</v>
      </c>
      <c r="J11" s="131">
        <f>'PM &amp; Common'!K141/160</f>
        <v>0</v>
      </c>
      <c r="K11" s="131">
        <f>'PM &amp; Common'!L141/160</f>
        <v>0</v>
      </c>
      <c r="L11" s="131">
        <f>'PM &amp; Common'!M141/160</f>
        <v>0</v>
      </c>
      <c r="M11" s="131">
        <f>'PM &amp; Common'!N141/160</f>
        <v>0</v>
      </c>
      <c r="N11" s="131">
        <f>'PM &amp; Common'!O141/160</f>
        <v>0</v>
      </c>
      <c r="O11" s="131">
        <f>'PM &amp; Common'!P141/160</f>
        <v>0</v>
      </c>
      <c r="P11" s="131">
        <f>'PM &amp; Common'!Q141/160</f>
        <v>0</v>
      </c>
      <c r="Q11" s="131">
        <f>'PM &amp; Common'!R141/160</f>
        <v>0</v>
      </c>
      <c r="R11" s="131">
        <f>'PM &amp; Common'!S141/160</f>
        <v>0</v>
      </c>
      <c r="S11" s="131">
        <f>'PM &amp; Common'!T141/160</f>
        <v>0</v>
      </c>
      <c r="T11" s="131">
        <f>'PM &amp; Common'!U141/160</f>
        <v>0</v>
      </c>
      <c r="U11" s="131">
        <f>'PM &amp; Common'!V141/160</f>
        <v>0</v>
      </c>
      <c r="V11" s="131">
        <f>'PM &amp; Common'!W141/160</f>
        <v>0</v>
      </c>
      <c r="W11" s="131">
        <f>'PM &amp; Common'!X141/160</f>
        <v>0</v>
      </c>
      <c r="X11" s="131">
        <f>'PM &amp; Common'!Y141/160</f>
        <v>0</v>
      </c>
      <c r="Y11" s="131">
        <f>'PM &amp; Common'!Z141/160</f>
        <v>0</v>
      </c>
      <c r="Z11" s="131">
        <f>'PM &amp; Common'!AA141/160</f>
        <v>0</v>
      </c>
      <c r="AA11" s="131">
        <f>'PM &amp; Common'!AB141/160</f>
        <v>0</v>
      </c>
      <c r="AB11" s="131">
        <f>'PM &amp; Common'!AC141/160</f>
        <v>0</v>
      </c>
      <c r="AC11" s="131">
        <f>'PM &amp; Common'!AD141/160</f>
        <v>0</v>
      </c>
      <c r="AD11" s="131">
        <f>'PM &amp; Common'!AE141/160</f>
        <v>0</v>
      </c>
      <c r="AE11" s="131">
        <f>'PM &amp; Common'!AF141/160</f>
        <v>0</v>
      </c>
      <c r="AF11" s="131">
        <f>'PM &amp; Common'!AG141/160</f>
        <v>0</v>
      </c>
      <c r="AG11" s="131">
        <f>'PM &amp; Common'!AH141/160</f>
        <v>0</v>
      </c>
      <c r="AH11" s="131">
        <f>'PM &amp; Common'!AI141/160</f>
        <v>0</v>
      </c>
      <c r="AI11" s="131">
        <f>'PM &amp; Common'!AJ141/160</f>
        <v>0</v>
      </c>
      <c r="AJ11" s="131">
        <f>'PM &amp; Common'!AK141/160</f>
        <v>0</v>
      </c>
      <c r="AK11" s="131">
        <f>'PM &amp; Common'!AL141/160</f>
        <v>0</v>
      </c>
      <c r="AL11" s="131">
        <f>'PM &amp; Common'!AM141/160</f>
        <v>0</v>
      </c>
      <c r="AM11" s="137"/>
      <c r="AN11" s="136">
        <f t="shared" si="0"/>
        <v>0</v>
      </c>
    </row>
    <row r="12" spans="1:40" x14ac:dyDescent="0.35">
      <c r="A12" s="132" t="s">
        <v>120</v>
      </c>
      <c r="B12" s="131">
        <f>'PM &amp; Common'!C151/160</f>
        <v>0</v>
      </c>
      <c r="C12" s="131">
        <f>'PM &amp; Common'!D151/160</f>
        <v>0</v>
      </c>
      <c r="D12" s="131">
        <f>'PM &amp; Common'!E151/160</f>
        <v>0</v>
      </c>
      <c r="E12" s="131">
        <f>'PM &amp; Common'!F151/160</f>
        <v>0</v>
      </c>
      <c r="F12" s="131">
        <f>'PM &amp; Common'!G151/160</f>
        <v>0</v>
      </c>
      <c r="G12" s="131">
        <f>'PM &amp; Common'!H151/160</f>
        <v>0</v>
      </c>
      <c r="H12" s="131">
        <f>'PM &amp; Common'!I151/160</f>
        <v>0</v>
      </c>
      <c r="I12" s="131">
        <f>'PM &amp; Common'!J151/160</f>
        <v>0</v>
      </c>
      <c r="J12" s="131">
        <f>'PM &amp; Common'!K151/160</f>
        <v>0</v>
      </c>
      <c r="K12" s="131">
        <f>'PM &amp; Common'!L151/160</f>
        <v>0</v>
      </c>
      <c r="L12" s="131">
        <f>'PM &amp; Common'!M151/160</f>
        <v>0</v>
      </c>
      <c r="M12" s="131">
        <f>'PM &amp; Common'!N151/160</f>
        <v>0</v>
      </c>
      <c r="N12" s="131">
        <f>'PM &amp; Common'!O151/160</f>
        <v>0</v>
      </c>
      <c r="O12" s="131">
        <f>'PM &amp; Common'!P151/160</f>
        <v>0</v>
      </c>
      <c r="P12" s="131">
        <f>'PM &amp; Common'!Q151/160</f>
        <v>0</v>
      </c>
      <c r="Q12" s="131">
        <f>'PM &amp; Common'!R151/160</f>
        <v>0</v>
      </c>
      <c r="R12" s="131">
        <f>'PM &amp; Common'!S151/160</f>
        <v>0</v>
      </c>
      <c r="S12" s="131">
        <f>'PM &amp; Common'!T151/160</f>
        <v>0</v>
      </c>
      <c r="T12" s="131">
        <f>'PM &amp; Common'!U151/160</f>
        <v>0</v>
      </c>
      <c r="U12" s="131">
        <f>'PM &amp; Common'!V151/160</f>
        <v>0</v>
      </c>
      <c r="V12" s="131">
        <f>'PM &amp; Common'!W151/160</f>
        <v>0</v>
      </c>
      <c r="W12" s="131">
        <f>'PM &amp; Common'!X151/160</f>
        <v>0</v>
      </c>
      <c r="X12" s="131">
        <f>'PM &amp; Common'!Y151/160</f>
        <v>0</v>
      </c>
      <c r="Y12" s="131">
        <f>'PM &amp; Common'!Z151/160</f>
        <v>0</v>
      </c>
      <c r="Z12" s="131">
        <f>'PM &amp; Common'!AA151/160</f>
        <v>0</v>
      </c>
      <c r="AA12" s="131">
        <f>'PM &amp; Common'!AB151/160</f>
        <v>0</v>
      </c>
      <c r="AB12" s="131">
        <f>'PM &amp; Common'!AC151/160</f>
        <v>0</v>
      </c>
      <c r="AC12" s="131">
        <f>'PM &amp; Common'!AD151/160</f>
        <v>0</v>
      </c>
      <c r="AD12" s="131">
        <f>'PM &amp; Common'!AE151/160</f>
        <v>0</v>
      </c>
      <c r="AE12" s="131">
        <f>'PM &amp; Common'!AF151/160</f>
        <v>0</v>
      </c>
      <c r="AF12" s="131">
        <f>'PM &amp; Common'!AG151/160</f>
        <v>0</v>
      </c>
      <c r="AG12" s="131">
        <f>'PM &amp; Common'!AH151/160</f>
        <v>0</v>
      </c>
      <c r="AH12" s="131">
        <f>'PM &amp; Common'!AI151/160</f>
        <v>0</v>
      </c>
      <c r="AI12" s="131">
        <f>'PM &amp; Common'!AJ151/160</f>
        <v>0</v>
      </c>
      <c r="AJ12" s="131">
        <f>'PM &amp; Common'!AK151/160</f>
        <v>0</v>
      </c>
      <c r="AK12" s="131">
        <f>'PM &amp; Common'!AL151/160</f>
        <v>0</v>
      </c>
      <c r="AL12" s="131">
        <f>'PM &amp; Common'!AM151/160</f>
        <v>0</v>
      </c>
      <c r="AM12" s="137"/>
      <c r="AN12" s="136">
        <f t="shared" si="0"/>
        <v>0</v>
      </c>
    </row>
    <row r="13" spans="1:40" x14ac:dyDescent="0.35">
      <c r="A13" s="132" t="s">
        <v>130</v>
      </c>
      <c r="B13" s="131">
        <f>'PM &amp; Common'!C161/160</f>
        <v>0</v>
      </c>
      <c r="C13" s="131">
        <f>'PM &amp; Common'!D161/160</f>
        <v>0</v>
      </c>
      <c r="D13" s="131">
        <f>'PM &amp; Common'!E161/160</f>
        <v>0</v>
      </c>
      <c r="E13" s="131">
        <f>'PM &amp; Common'!F161/160</f>
        <v>0</v>
      </c>
      <c r="F13" s="131">
        <f>'PM &amp; Common'!G161/160</f>
        <v>0</v>
      </c>
      <c r="G13" s="131">
        <f>'PM &amp; Common'!H161/160</f>
        <v>0</v>
      </c>
      <c r="H13" s="131">
        <f>'PM &amp; Common'!I161/160</f>
        <v>0</v>
      </c>
      <c r="I13" s="131">
        <f>'PM &amp; Common'!J161/160</f>
        <v>0</v>
      </c>
      <c r="J13" s="131">
        <f>'PM &amp; Common'!K161/160</f>
        <v>0</v>
      </c>
      <c r="K13" s="131">
        <f>'PM &amp; Common'!L161/160</f>
        <v>0</v>
      </c>
      <c r="L13" s="131">
        <f>'PM &amp; Common'!M161/160</f>
        <v>0</v>
      </c>
      <c r="M13" s="131">
        <f>'PM &amp; Common'!N161/160</f>
        <v>0</v>
      </c>
      <c r="N13" s="131">
        <f>'PM &amp; Common'!O161/160</f>
        <v>0</v>
      </c>
      <c r="O13" s="131">
        <f>'PM &amp; Common'!P161/160</f>
        <v>0</v>
      </c>
      <c r="P13" s="131">
        <f>'PM &amp; Common'!Q161/160</f>
        <v>0</v>
      </c>
      <c r="Q13" s="131">
        <f>'PM &amp; Common'!R161/160</f>
        <v>0</v>
      </c>
      <c r="R13" s="131">
        <f>'PM &amp; Common'!S161/160</f>
        <v>0</v>
      </c>
      <c r="S13" s="131">
        <f>'PM &amp; Common'!T161/160</f>
        <v>0</v>
      </c>
      <c r="T13" s="131">
        <f>'PM &amp; Common'!U161/160</f>
        <v>0</v>
      </c>
      <c r="U13" s="131">
        <f>'PM &amp; Common'!V161/160</f>
        <v>0</v>
      </c>
      <c r="V13" s="131">
        <f>'PM &amp; Common'!W161/160</f>
        <v>0</v>
      </c>
      <c r="W13" s="131">
        <f>'PM &amp; Common'!X161/160</f>
        <v>0</v>
      </c>
      <c r="X13" s="131">
        <f>'PM &amp; Common'!Y161/160</f>
        <v>0</v>
      </c>
      <c r="Y13" s="131">
        <f>'PM &amp; Common'!Z161/160</f>
        <v>0</v>
      </c>
      <c r="Z13" s="131">
        <f>'PM &amp; Common'!AA161/160</f>
        <v>0</v>
      </c>
      <c r="AA13" s="131">
        <f>'PM &amp; Common'!AB161/160</f>
        <v>0</v>
      </c>
      <c r="AB13" s="131">
        <f>'PM &amp; Common'!AC161/160</f>
        <v>0</v>
      </c>
      <c r="AC13" s="131">
        <f>'PM &amp; Common'!AD161/160</f>
        <v>0</v>
      </c>
      <c r="AD13" s="131">
        <f>'PM &amp; Common'!AE161/160</f>
        <v>0</v>
      </c>
      <c r="AE13" s="131">
        <f>'PM &amp; Common'!AF161/160</f>
        <v>0</v>
      </c>
      <c r="AF13" s="131">
        <f>'PM &amp; Common'!AG161/160</f>
        <v>0</v>
      </c>
      <c r="AG13" s="131">
        <f>'PM &amp; Common'!AH161/160</f>
        <v>0</v>
      </c>
      <c r="AH13" s="131">
        <f>'PM &amp; Common'!AI161/160</f>
        <v>0</v>
      </c>
      <c r="AI13" s="131">
        <f>'PM &amp; Common'!AJ161/160</f>
        <v>0</v>
      </c>
      <c r="AJ13" s="131">
        <f>'PM &amp; Common'!AK161/160</f>
        <v>0</v>
      </c>
      <c r="AK13" s="131">
        <f>'PM &amp; Common'!AL161/160</f>
        <v>0</v>
      </c>
      <c r="AL13" s="131">
        <f>'PM &amp; Common'!AM161/160</f>
        <v>0</v>
      </c>
      <c r="AM13" s="137"/>
      <c r="AN13" s="136">
        <f t="shared" si="0"/>
        <v>0</v>
      </c>
    </row>
    <row r="14" spans="1:40" x14ac:dyDescent="0.35">
      <c r="A14" s="130" t="s">
        <v>138</v>
      </c>
      <c r="B14" s="131">
        <f>'PM &amp; Common'!C171/160</f>
        <v>0</v>
      </c>
      <c r="C14" s="131">
        <f>'PM &amp; Common'!D171/160</f>
        <v>0</v>
      </c>
      <c r="D14" s="131">
        <f>'PM &amp; Common'!E171/160</f>
        <v>0</v>
      </c>
      <c r="E14" s="131">
        <f>'PM &amp; Common'!F171/160</f>
        <v>0</v>
      </c>
      <c r="F14" s="131">
        <f>'PM &amp; Common'!G171/160</f>
        <v>0</v>
      </c>
      <c r="G14" s="131">
        <f>'PM &amp; Common'!H171/160</f>
        <v>0</v>
      </c>
      <c r="H14" s="131">
        <f>'PM &amp; Common'!I171/160</f>
        <v>0</v>
      </c>
      <c r="I14" s="131">
        <f>'PM &amp; Common'!J171/160</f>
        <v>0</v>
      </c>
      <c r="J14" s="131">
        <f>'PM &amp; Common'!K171/160</f>
        <v>0</v>
      </c>
      <c r="K14" s="131">
        <f>'PM &amp; Common'!L171/160</f>
        <v>0</v>
      </c>
      <c r="L14" s="131">
        <f>'PM &amp; Common'!M171/160</f>
        <v>0</v>
      </c>
      <c r="M14" s="131">
        <f>'PM &amp; Common'!N171/160</f>
        <v>0</v>
      </c>
      <c r="N14" s="131">
        <f>'PM &amp; Common'!O171/160</f>
        <v>0</v>
      </c>
      <c r="O14" s="131">
        <f>'PM &amp; Common'!P171/160</f>
        <v>0</v>
      </c>
      <c r="P14" s="131">
        <f>'PM &amp; Common'!Q171/160</f>
        <v>0</v>
      </c>
      <c r="Q14" s="131">
        <f>'PM &amp; Common'!R171/160</f>
        <v>0</v>
      </c>
      <c r="R14" s="131">
        <f>'PM &amp; Common'!S171/160</f>
        <v>0</v>
      </c>
      <c r="S14" s="131">
        <f>'PM &amp; Common'!T171/160</f>
        <v>0</v>
      </c>
      <c r="T14" s="131">
        <f>'PM &amp; Common'!U171/160</f>
        <v>0</v>
      </c>
      <c r="U14" s="131">
        <f>'PM &amp; Common'!V171/160</f>
        <v>0</v>
      </c>
      <c r="V14" s="131">
        <f>'PM &amp; Common'!W171/160</f>
        <v>0</v>
      </c>
      <c r="W14" s="131">
        <f>'PM &amp; Common'!X171/160</f>
        <v>0</v>
      </c>
      <c r="X14" s="131">
        <f>'PM &amp; Common'!Y171/160</f>
        <v>0</v>
      </c>
      <c r="Y14" s="131">
        <f>'PM &amp; Common'!Z171/160</f>
        <v>0</v>
      </c>
      <c r="Z14" s="131">
        <f>'PM &amp; Common'!AA171/160</f>
        <v>0</v>
      </c>
      <c r="AA14" s="131">
        <f>'PM &amp; Common'!AB171/160</f>
        <v>0</v>
      </c>
      <c r="AB14" s="131">
        <f>'PM &amp; Common'!AC171/160</f>
        <v>0</v>
      </c>
      <c r="AC14" s="131">
        <f>'PM &amp; Common'!AD171/160</f>
        <v>0</v>
      </c>
      <c r="AD14" s="131">
        <f>'PM &amp; Common'!AE171/160</f>
        <v>0</v>
      </c>
      <c r="AE14" s="131">
        <f>'PM &amp; Common'!AF171/160</f>
        <v>0</v>
      </c>
      <c r="AF14" s="131">
        <f>'PM &amp; Common'!AG171/160</f>
        <v>0</v>
      </c>
      <c r="AG14" s="131">
        <f>'PM &amp; Common'!AH171/160</f>
        <v>0</v>
      </c>
      <c r="AH14" s="131">
        <f>'PM &amp; Common'!AI171/160</f>
        <v>0</v>
      </c>
      <c r="AI14" s="131">
        <f>'PM &amp; Common'!AJ171/160</f>
        <v>0</v>
      </c>
      <c r="AJ14" s="131">
        <f>'PM &amp; Common'!AK171/160</f>
        <v>0</v>
      </c>
      <c r="AK14" s="131">
        <f>'PM &amp; Common'!AL171/160</f>
        <v>0</v>
      </c>
      <c r="AL14" s="131">
        <f>'PM &amp; Common'!AM171/160</f>
        <v>0</v>
      </c>
      <c r="AM14" s="137"/>
      <c r="AN14" s="136">
        <f t="shared" si="0"/>
        <v>0</v>
      </c>
    </row>
    <row r="15" spans="1:40" x14ac:dyDescent="0.35">
      <c r="A15" s="130" t="s">
        <v>144</v>
      </c>
      <c r="B15" s="131">
        <f>'PM &amp; Common'!C178/160</f>
        <v>0</v>
      </c>
      <c r="C15" s="131">
        <f>'PM &amp; Common'!D178/160</f>
        <v>0</v>
      </c>
      <c r="D15" s="131">
        <f>'PM &amp; Common'!E178/160</f>
        <v>0</v>
      </c>
      <c r="E15" s="131">
        <f>'PM &amp; Common'!F178/160</f>
        <v>0</v>
      </c>
      <c r="F15" s="131">
        <f>'PM &amp; Common'!G178/160</f>
        <v>0</v>
      </c>
      <c r="G15" s="131">
        <f>'PM &amp; Common'!H178/160</f>
        <v>0</v>
      </c>
      <c r="H15" s="131">
        <f>'PM &amp; Common'!I178/160</f>
        <v>0</v>
      </c>
      <c r="I15" s="131">
        <f>'PM &amp; Common'!J178/160</f>
        <v>0</v>
      </c>
      <c r="J15" s="131">
        <f>'PM &amp; Common'!K178/160</f>
        <v>0</v>
      </c>
      <c r="K15" s="131">
        <f>'PM &amp; Common'!L178/160</f>
        <v>0</v>
      </c>
      <c r="L15" s="131">
        <f>'PM &amp; Common'!M178/160</f>
        <v>0</v>
      </c>
      <c r="M15" s="131">
        <f>'PM &amp; Common'!N178/160</f>
        <v>0</v>
      </c>
      <c r="N15" s="131">
        <f>'PM &amp; Common'!O178/160</f>
        <v>0</v>
      </c>
      <c r="O15" s="131">
        <f>'PM &amp; Common'!P178/160</f>
        <v>0</v>
      </c>
      <c r="P15" s="131">
        <f>'PM &amp; Common'!Q178/160</f>
        <v>0</v>
      </c>
      <c r="Q15" s="131">
        <f>'PM &amp; Common'!R178/160</f>
        <v>0</v>
      </c>
      <c r="R15" s="131">
        <f>'PM &amp; Common'!S178/160</f>
        <v>0</v>
      </c>
      <c r="S15" s="131">
        <f>'PM &amp; Common'!T178/160</f>
        <v>0</v>
      </c>
      <c r="T15" s="131">
        <f>'PM &amp; Common'!U178/160</f>
        <v>0</v>
      </c>
      <c r="U15" s="131">
        <f>'PM &amp; Common'!V178/160</f>
        <v>0</v>
      </c>
      <c r="V15" s="131">
        <f>'PM &amp; Common'!W178/160</f>
        <v>0</v>
      </c>
      <c r="W15" s="131">
        <f>'PM &amp; Common'!X178/160</f>
        <v>0</v>
      </c>
      <c r="X15" s="131">
        <f>'PM &amp; Common'!Y178/160</f>
        <v>0</v>
      </c>
      <c r="Y15" s="131">
        <f>'PM &amp; Common'!Z178/160</f>
        <v>0</v>
      </c>
      <c r="Z15" s="131">
        <f>'PM &amp; Common'!AA178/160</f>
        <v>0</v>
      </c>
      <c r="AA15" s="131">
        <f>'PM &amp; Common'!AB178/160</f>
        <v>0</v>
      </c>
      <c r="AB15" s="131">
        <f>'PM &amp; Common'!AC178/160</f>
        <v>0</v>
      </c>
      <c r="AC15" s="131">
        <f>'PM &amp; Common'!AD178/160</f>
        <v>0</v>
      </c>
      <c r="AD15" s="131">
        <f>'PM &amp; Common'!AE178/160</f>
        <v>0</v>
      </c>
      <c r="AE15" s="131">
        <f>'PM &amp; Common'!AF178/160</f>
        <v>0</v>
      </c>
      <c r="AF15" s="131">
        <f>'PM &amp; Common'!AG178/160</f>
        <v>0</v>
      </c>
      <c r="AG15" s="131">
        <f>'PM &amp; Common'!AH178/160</f>
        <v>0</v>
      </c>
      <c r="AH15" s="131">
        <f>'PM &amp; Common'!AI178/160</f>
        <v>0</v>
      </c>
      <c r="AI15" s="131">
        <f>'PM &amp; Common'!AJ178/160</f>
        <v>0</v>
      </c>
      <c r="AJ15" s="131">
        <f>'PM &amp; Common'!AK178/160</f>
        <v>0</v>
      </c>
      <c r="AK15" s="131">
        <f>'PM &amp; Common'!AL178/160</f>
        <v>0</v>
      </c>
      <c r="AL15" s="131">
        <f>'PM &amp; Common'!AM178/160</f>
        <v>0</v>
      </c>
      <c r="AM15" s="137"/>
      <c r="AN15" s="136">
        <f t="shared" si="0"/>
        <v>0</v>
      </c>
    </row>
    <row r="16" spans="1:40" x14ac:dyDescent="0.35">
      <c r="A16" s="130" t="s">
        <v>429</v>
      </c>
      <c r="B16" s="131">
        <f>'PM &amp; Common'!C188/160</f>
        <v>0</v>
      </c>
      <c r="C16" s="131">
        <f>'PM &amp; Common'!D188/160</f>
        <v>0</v>
      </c>
      <c r="D16" s="131">
        <f>'PM &amp; Common'!E188/160</f>
        <v>0</v>
      </c>
      <c r="E16" s="131">
        <f>'PM &amp; Common'!F188/160</f>
        <v>0</v>
      </c>
      <c r="F16" s="131">
        <f>'PM &amp; Common'!G188/160</f>
        <v>0</v>
      </c>
      <c r="G16" s="131">
        <f>'PM &amp; Common'!H188/160</f>
        <v>0</v>
      </c>
      <c r="H16" s="131">
        <f>'PM &amp; Common'!I188/160</f>
        <v>0</v>
      </c>
      <c r="I16" s="131">
        <f>'PM &amp; Common'!J188/160</f>
        <v>0</v>
      </c>
      <c r="J16" s="131">
        <f>'PM &amp; Common'!K188/160</f>
        <v>0</v>
      </c>
      <c r="K16" s="131">
        <f>'PM &amp; Common'!L188/160</f>
        <v>0</v>
      </c>
      <c r="L16" s="131">
        <f>'PM &amp; Common'!M188/160</f>
        <v>0</v>
      </c>
      <c r="M16" s="131">
        <f>'PM &amp; Common'!N188/160</f>
        <v>0</v>
      </c>
      <c r="N16" s="131">
        <f>'PM &amp; Common'!O188/160</f>
        <v>0</v>
      </c>
      <c r="O16" s="131">
        <f>'PM &amp; Common'!P188/160</f>
        <v>0</v>
      </c>
      <c r="P16" s="131">
        <f>'PM &amp; Common'!Q188/160</f>
        <v>0</v>
      </c>
      <c r="Q16" s="131">
        <f>'PM &amp; Common'!R188/160</f>
        <v>0</v>
      </c>
      <c r="R16" s="131">
        <f>'PM &amp; Common'!S188/160</f>
        <v>0</v>
      </c>
      <c r="S16" s="131">
        <f>'PM &amp; Common'!T188/160</f>
        <v>0</v>
      </c>
      <c r="T16" s="131">
        <f>'PM &amp; Common'!U188/160</f>
        <v>0</v>
      </c>
      <c r="U16" s="131">
        <f>'PM &amp; Common'!V188/160</f>
        <v>0</v>
      </c>
      <c r="V16" s="131">
        <f>'PM &amp; Common'!W188/160</f>
        <v>0</v>
      </c>
      <c r="W16" s="131">
        <f>'PM &amp; Common'!X188/160</f>
        <v>0</v>
      </c>
      <c r="X16" s="131">
        <f>'PM &amp; Common'!Y188/160</f>
        <v>0</v>
      </c>
      <c r="Y16" s="131">
        <f>'PM &amp; Common'!Z188/160</f>
        <v>0</v>
      </c>
      <c r="Z16" s="131">
        <f>'PM &amp; Common'!AA188/160</f>
        <v>0</v>
      </c>
      <c r="AA16" s="131">
        <f>'PM &amp; Common'!AB188/160</f>
        <v>0</v>
      </c>
      <c r="AB16" s="131">
        <f>'PM &amp; Common'!AC188/160</f>
        <v>0</v>
      </c>
      <c r="AC16" s="131">
        <f>'PM &amp; Common'!AD188/160</f>
        <v>0</v>
      </c>
      <c r="AD16" s="131">
        <f>'PM &amp; Common'!AE188/160</f>
        <v>0</v>
      </c>
      <c r="AE16" s="131">
        <f>'PM &amp; Common'!AF188/160</f>
        <v>0</v>
      </c>
      <c r="AF16" s="131">
        <f>'PM &amp; Common'!AG188/160</f>
        <v>0</v>
      </c>
      <c r="AG16" s="131">
        <f>'PM &amp; Common'!AH188/160</f>
        <v>0</v>
      </c>
      <c r="AH16" s="131">
        <f>'PM &amp; Common'!AI188/160</f>
        <v>0</v>
      </c>
      <c r="AI16" s="131">
        <f>'PM &amp; Common'!AJ188/160</f>
        <v>0</v>
      </c>
      <c r="AJ16" s="131">
        <f>'PM &amp; Common'!AK188/160</f>
        <v>0</v>
      </c>
      <c r="AK16" s="131">
        <f>'PM &amp; Common'!AL188/160</f>
        <v>0</v>
      </c>
      <c r="AL16" s="131">
        <f>'PM &amp; Common'!AM188/160</f>
        <v>0</v>
      </c>
      <c r="AM16" s="137"/>
      <c r="AN16" s="136">
        <f t="shared" si="0"/>
        <v>0</v>
      </c>
    </row>
    <row r="17" spans="1:40" x14ac:dyDescent="0.35">
      <c r="A17" s="130" t="s">
        <v>149</v>
      </c>
      <c r="B17" s="133">
        <f>'PM &amp; Common'!C198/160</f>
        <v>0</v>
      </c>
      <c r="C17" s="133">
        <f>'PM &amp; Common'!D198/160</f>
        <v>0</v>
      </c>
      <c r="D17" s="133">
        <f>'PM &amp; Common'!E198/160</f>
        <v>0</v>
      </c>
      <c r="E17" s="133">
        <f>'PM &amp; Common'!F198/160</f>
        <v>0</v>
      </c>
      <c r="F17" s="133">
        <f>'PM &amp; Common'!G198/160</f>
        <v>0</v>
      </c>
      <c r="G17" s="133">
        <f>'PM &amp; Common'!H198/160</f>
        <v>0</v>
      </c>
      <c r="H17" s="133">
        <f>'PM &amp; Common'!I198/160</f>
        <v>0</v>
      </c>
      <c r="I17" s="133">
        <f>'PM &amp; Common'!J198/160</f>
        <v>0</v>
      </c>
      <c r="J17" s="133">
        <f>'PM &amp; Common'!K198/160</f>
        <v>0</v>
      </c>
      <c r="K17" s="133">
        <f>'PM &amp; Common'!L198/160</f>
        <v>0</v>
      </c>
      <c r="L17" s="133">
        <f>'PM &amp; Common'!M198/160</f>
        <v>0</v>
      </c>
      <c r="M17" s="133">
        <f>'PM &amp; Common'!N198/160</f>
        <v>0</v>
      </c>
      <c r="N17" s="133">
        <f>'PM &amp; Common'!O198/160</f>
        <v>0</v>
      </c>
      <c r="O17" s="133">
        <f>'PM &amp; Common'!P198/160</f>
        <v>0</v>
      </c>
      <c r="P17" s="133">
        <f>'PM &amp; Common'!Q198/160</f>
        <v>0</v>
      </c>
      <c r="Q17" s="133">
        <f>'PM &amp; Common'!R198/160</f>
        <v>0</v>
      </c>
      <c r="R17" s="133">
        <f>'PM &amp; Common'!S198/160</f>
        <v>0</v>
      </c>
      <c r="S17" s="133">
        <f>'PM &amp; Common'!T198/160</f>
        <v>0</v>
      </c>
      <c r="T17" s="133">
        <f>'PM &amp; Common'!U198/160</f>
        <v>0</v>
      </c>
      <c r="U17" s="133">
        <f>'PM &amp; Common'!V198/160</f>
        <v>0</v>
      </c>
      <c r="V17" s="133">
        <f>'PM &amp; Common'!W198/160</f>
        <v>0</v>
      </c>
      <c r="W17" s="133">
        <f>'PM &amp; Common'!X198/160</f>
        <v>0</v>
      </c>
      <c r="X17" s="133">
        <f>'PM &amp; Common'!Y198/160</f>
        <v>0</v>
      </c>
      <c r="Y17" s="133">
        <f>'PM &amp; Common'!Z198/160</f>
        <v>0</v>
      </c>
      <c r="Z17" s="133">
        <f>'PM &amp; Common'!AA198/160</f>
        <v>0</v>
      </c>
      <c r="AA17" s="133">
        <f>'PM &amp; Common'!AB198/160</f>
        <v>0</v>
      </c>
      <c r="AB17" s="133">
        <f>'PM &amp; Common'!AC198/160</f>
        <v>0</v>
      </c>
      <c r="AC17" s="133">
        <f>'PM &amp; Common'!AD198/160</f>
        <v>0</v>
      </c>
      <c r="AD17" s="133">
        <f>'PM &amp; Common'!AE198/160</f>
        <v>0</v>
      </c>
      <c r="AE17" s="133">
        <f>'PM &amp; Common'!AF198/160</f>
        <v>0</v>
      </c>
      <c r="AF17" s="133">
        <f>'PM &amp; Common'!AG198/160</f>
        <v>0</v>
      </c>
      <c r="AG17" s="133">
        <f>'PM &amp; Common'!AH198/160</f>
        <v>0</v>
      </c>
      <c r="AH17" s="133">
        <f>'PM &amp; Common'!AI198/160</f>
        <v>0</v>
      </c>
      <c r="AI17" s="133">
        <f>'PM &amp; Common'!AJ198/160</f>
        <v>0</v>
      </c>
      <c r="AJ17" s="133">
        <f>'PM &amp; Common'!AK198/160</f>
        <v>0</v>
      </c>
      <c r="AK17" s="133">
        <f>'PM &amp; Common'!AL198/160</f>
        <v>0</v>
      </c>
      <c r="AL17" s="133">
        <f>'PM &amp; Common'!AM198/160</f>
        <v>0</v>
      </c>
      <c r="AM17" s="137"/>
      <c r="AN17" s="136">
        <f t="shared" si="0"/>
        <v>0</v>
      </c>
    </row>
    <row r="18" spans="1:40" x14ac:dyDescent="0.35">
      <c r="A18" s="130" t="s">
        <v>162</v>
      </c>
      <c r="B18" s="133">
        <f>'PM &amp; Common'!C239/160</f>
        <v>0</v>
      </c>
      <c r="C18" s="133">
        <f>'PM &amp; Common'!D239/160</f>
        <v>0</v>
      </c>
      <c r="D18" s="133">
        <f>'PM &amp; Common'!E239/160</f>
        <v>0</v>
      </c>
      <c r="E18" s="133">
        <f>'PM &amp; Common'!F239/160</f>
        <v>0</v>
      </c>
      <c r="F18" s="133">
        <f>'PM &amp; Common'!G239/160</f>
        <v>0</v>
      </c>
      <c r="G18" s="133">
        <f>'PM &amp; Common'!H239/160</f>
        <v>0</v>
      </c>
      <c r="H18" s="133">
        <f>'PM &amp; Common'!I239/160</f>
        <v>0</v>
      </c>
      <c r="I18" s="133">
        <f>'PM &amp; Common'!J239/160</f>
        <v>0</v>
      </c>
      <c r="J18" s="133">
        <f>'PM &amp; Common'!K239/160</f>
        <v>0</v>
      </c>
      <c r="K18" s="133">
        <f>'PM &amp; Common'!L239/160</f>
        <v>0</v>
      </c>
      <c r="L18" s="133">
        <f>'PM &amp; Common'!M239/160</f>
        <v>0</v>
      </c>
      <c r="M18" s="133">
        <f>'PM &amp; Common'!N239/160</f>
        <v>0</v>
      </c>
      <c r="N18" s="133">
        <f>'PM &amp; Common'!O239/160</f>
        <v>0</v>
      </c>
      <c r="O18" s="133">
        <f>'PM &amp; Common'!P239/160</f>
        <v>0</v>
      </c>
      <c r="P18" s="133">
        <f>'PM &amp; Common'!Q239/160</f>
        <v>0</v>
      </c>
      <c r="Q18" s="133">
        <f>'PM &amp; Common'!R239/160</f>
        <v>0</v>
      </c>
      <c r="R18" s="133">
        <f>'PM &amp; Common'!S239/160</f>
        <v>0</v>
      </c>
      <c r="S18" s="133">
        <f>'PM &amp; Common'!T239/160</f>
        <v>0</v>
      </c>
      <c r="T18" s="133">
        <f>'PM &amp; Common'!U239/160</f>
        <v>0</v>
      </c>
      <c r="U18" s="133">
        <f>'PM &amp; Common'!V239/160</f>
        <v>0</v>
      </c>
      <c r="V18" s="133">
        <f>'PM &amp; Common'!W239/160</f>
        <v>0</v>
      </c>
      <c r="W18" s="133">
        <f>'PM &amp; Common'!X239/160</f>
        <v>0</v>
      </c>
      <c r="X18" s="133">
        <f>'PM &amp; Common'!Y239/160</f>
        <v>0</v>
      </c>
      <c r="Y18" s="133">
        <f>'PM &amp; Common'!Z239/160</f>
        <v>0</v>
      </c>
      <c r="Z18" s="133">
        <f>'PM &amp; Common'!AA239/160</f>
        <v>0</v>
      </c>
      <c r="AA18" s="133">
        <f>'PM &amp; Common'!AB239/160</f>
        <v>0</v>
      </c>
      <c r="AB18" s="133">
        <f>'PM &amp; Common'!AC239/160</f>
        <v>0</v>
      </c>
      <c r="AC18" s="133">
        <f>'PM &amp; Common'!AD239/160</f>
        <v>0</v>
      </c>
      <c r="AD18" s="133">
        <f>'PM &amp; Common'!AE239/160</f>
        <v>0</v>
      </c>
      <c r="AE18" s="133">
        <f>'PM &amp; Common'!AF239/160</f>
        <v>0</v>
      </c>
      <c r="AF18" s="133">
        <f>'PM &amp; Common'!AG239/160</f>
        <v>0</v>
      </c>
      <c r="AG18" s="133">
        <f>'PM &amp; Common'!AH239/160</f>
        <v>0</v>
      </c>
      <c r="AH18" s="133">
        <f>'PM &amp; Common'!AI239/160</f>
        <v>0</v>
      </c>
      <c r="AI18" s="133">
        <f>'PM &amp; Common'!AJ239/160</f>
        <v>0</v>
      </c>
      <c r="AJ18" s="133">
        <f>'PM &amp; Common'!AK239/160</f>
        <v>0</v>
      </c>
      <c r="AK18" s="133">
        <f>'PM &amp; Common'!AL239/160</f>
        <v>0</v>
      </c>
      <c r="AL18" s="133">
        <f>'PM &amp; Common'!AM239/160</f>
        <v>0</v>
      </c>
      <c r="AM18" s="137"/>
      <c r="AN18" s="136">
        <f t="shared" si="0"/>
        <v>0</v>
      </c>
    </row>
    <row r="19" spans="1:40" s="129" customFormat="1" ht="6.5" customHeight="1" x14ac:dyDescent="0.3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7"/>
      <c r="AN19" s="138"/>
    </row>
    <row r="20" spans="1:40" x14ac:dyDescent="0.35">
      <c r="A20" s="132" t="s">
        <v>164</v>
      </c>
      <c r="B20" s="133">
        <f>'PM &amp; Common'!C243/160</f>
        <v>0</v>
      </c>
      <c r="C20" s="133">
        <f>'PM &amp; Common'!D243/160</f>
        <v>0</v>
      </c>
      <c r="D20" s="133">
        <f>'PM &amp; Common'!E243/160</f>
        <v>0</v>
      </c>
      <c r="E20" s="133">
        <f>'PM &amp; Common'!F243/160</f>
        <v>0</v>
      </c>
      <c r="F20" s="133">
        <f>'PM &amp; Common'!G243/160</f>
        <v>0</v>
      </c>
      <c r="G20" s="133">
        <f>'PM &amp; Common'!H243/160</f>
        <v>0</v>
      </c>
      <c r="H20" s="133">
        <f>'PM &amp; Common'!I243/160</f>
        <v>0</v>
      </c>
      <c r="I20" s="133">
        <f>'PM &amp; Common'!J243/160</f>
        <v>0</v>
      </c>
      <c r="J20" s="133">
        <f>'PM &amp; Common'!K243/160</f>
        <v>0</v>
      </c>
      <c r="K20" s="133">
        <f>'PM &amp; Common'!L243/160</f>
        <v>0</v>
      </c>
      <c r="L20" s="133">
        <f>'PM &amp; Common'!M243/160</f>
        <v>0</v>
      </c>
      <c r="M20" s="133">
        <f>'PM &amp; Common'!N243/160</f>
        <v>0</v>
      </c>
      <c r="N20" s="133">
        <f>'PM &amp; Common'!O243/160</f>
        <v>0</v>
      </c>
      <c r="O20" s="133">
        <f>'PM &amp; Common'!P243/160</f>
        <v>0</v>
      </c>
      <c r="P20" s="133">
        <f>'PM &amp; Common'!Q243/160</f>
        <v>0</v>
      </c>
      <c r="Q20" s="133">
        <f>'PM &amp; Common'!R243/160</f>
        <v>0</v>
      </c>
      <c r="R20" s="133">
        <f>'PM &amp; Common'!S243/160</f>
        <v>0</v>
      </c>
      <c r="S20" s="133">
        <f>'PM &amp; Common'!T243/160</f>
        <v>0</v>
      </c>
      <c r="T20" s="133">
        <f>'PM &amp; Common'!U243/160</f>
        <v>0</v>
      </c>
      <c r="U20" s="133">
        <f>'PM &amp; Common'!V243/160</f>
        <v>0</v>
      </c>
      <c r="V20" s="133">
        <f>'PM &amp; Common'!W243/160</f>
        <v>0</v>
      </c>
      <c r="W20" s="133">
        <f>'PM &amp; Common'!X243/160</f>
        <v>0</v>
      </c>
      <c r="X20" s="133">
        <f>'PM &amp; Common'!Y243/160</f>
        <v>0</v>
      </c>
      <c r="Y20" s="133">
        <f>'PM &amp; Common'!Z243/160</f>
        <v>0</v>
      </c>
      <c r="Z20" s="133">
        <f>'PM &amp; Common'!AA243/160</f>
        <v>0</v>
      </c>
      <c r="AA20" s="133">
        <f>'PM &amp; Common'!AB243/160</f>
        <v>0</v>
      </c>
      <c r="AB20" s="133">
        <f>'PM &amp; Common'!AC243/160</f>
        <v>0</v>
      </c>
      <c r="AC20" s="133">
        <f>'PM &amp; Common'!AD243/160</f>
        <v>0</v>
      </c>
      <c r="AD20" s="133">
        <f>'PM &amp; Common'!AE243/160</f>
        <v>0</v>
      </c>
      <c r="AE20" s="133">
        <f>'PM &amp; Common'!AF243/160</f>
        <v>0</v>
      </c>
      <c r="AF20" s="133">
        <f>'PM &amp; Common'!AG243/160</f>
        <v>0</v>
      </c>
      <c r="AG20" s="133">
        <f>'PM &amp; Common'!AH243/160</f>
        <v>0</v>
      </c>
      <c r="AH20" s="133">
        <f>'PM &amp; Common'!AI243/160</f>
        <v>0</v>
      </c>
      <c r="AI20" s="133">
        <f>'PM &amp; Common'!AJ243/160</f>
        <v>0</v>
      </c>
      <c r="AJ20" s="133">
        <f>'PM &amp; Common'!AK243/160</f>
        <v>0</v>
      </c>
      <c r="AK20" s="133">
        <f>'PM &amp; Common'!AL243/160</f>
        <v>0</v>
      </c>
      <c r="AL20" s="133">
        <f>'PM &amp; Common'!AM243/160</f>
        <v>0</v>
      </c>
      <c r="AM20" s="137"/>
      <c r="AN20" s="136">
        <f t="shared" si="0"/>
        <v>0</v>
      </c>
    </row>
    <row r="21" spans="1:40" x14ac:dyDescent="0.35">
      <c r="A21" s="132" t="s">
        <v>165</v>
      </c>
      <c r="B21" s="133">
        <f>'PM &amp; Common'!C244/160</f>
        <v>0</v>
      </c>
      <c r="C21" s="133">
        <f>'PM &amp; Common'!D244/160</f>
        <v>0</v>
      </c>
      <c r="D21" s="133">
        <f>'PM &amp; Common'!E244/160</f>
        <v>0</v>
      </c>
      <c r="E21" s="133">
        <f>'PM &amp; Common'!F244/160</f>
        <v>0</v>
      </c>
      <c r="F21" s="133">
        <f>'PM &amp; Common'!G244/160</f>
        <v>0</v>
      </c>
      <c r="G21" s="133">
        <f>'PM &amp; Common'!H244/160</f>
        <v>0</v>
      </c>
      <c r="H21" s="133">
        <f>'PM &amp; Common'!I244/160</f>
        <v>0</v>
      </c>
      <c r="I21" s="133">
        <f>'PM &amp; Common'!J244/160</f>
        <v>0</v>
      </c>
      <c r="J21" s="133">
        <f>'PM &amp; Common'!K244/160</f>
        <v>0</v>
      </c>
      <c r="K21" s="133">
        <f>'PM &amp; Common'!L244/160</f>
        <v>0</v>
      </c>
      <c r="L21" s="133">
        <f>'PM &amp; Common'!M244/160</f>
        <v>0</v>
      </c>
      <c r="M21" s="133">
        <f>'PM &amp; Common'!N244/160</f>
        <v>0</v>
      </c>
      <c r="N21" s="133">
        <f>'PM &amp; Common'!O244/160</f>
        <v>0</v>
      </c>
      <c r="O21" s="133">
        <f>'PM &amp; Common'!P244/160</f>
        <v>0</v>
      </c>
      <c r="P21" s="133">
        <f>'PM &amp; Common'!Q244/160</f>
        <v>0</v>
      </c>
      <c r="Q21" s="133">
        <f>'PM &amp; Common'!R244/160</f>
        <v>0</v>
      </c>
      <c r="R21" s="133">
        <f>'PM &amp; Common'!S244/160</f>
        <v>0</v>
      </c>
      <c r="S21" s="133">
        <f>'PM &amp; Common'!T244/160</f>
        <v>0</v>
      </c>
      <c r="T21" s="133">
        <f>'PM &amp; Common'!U244/160</f>
        <v>0</v>
      </c>
      <c r="U21" s="133">
        <f>'PM &amp; Common'!V244/160</f>
        <v>0</v>
      </c>
      <c r="V21" s="133">
        <f>'PM &amp; Common'!W244/160</f>
        <v>0</v>
      </c>
      <c r="W21" s="133">
        <f>'PM &amp; Common'!X244/160</f>
        <v>0</v>
      </c>
      <c r="X21" s="133">
        <f>'PM &amp; Common'!Y244/160</f>
        <v>0</v>
      </c>
      <c r="Y21" s="133">
        <f>'PM &amp; Common'!Z244/160</f>
        <v>0</v>
      </c>
      <c r="Z21" s="133">
        <f>'PM &amp; Common'!AA244/160</f>
        <v>0</v>
      </c>
      <c r="AA21" s="133">
        <f>'PM &amp; Common'!AB244/160</f>
        <v>0</v>
      </c>
      <c r="AB21" s="133">
        <f>'PM &amp; Common'!AC244/160</f>
        <v>0</v>
      </c>
      <c r="AC21" s="133">
        <f>'PM &amp; Common'!AD244/160</f>
        <v>0</v>
      </c>
      <c r="AD21" s="133">
        <f>'PM &amp; Common'!AE244/160</f>
        <v>0</v>
      </c>
      <c r="AE21" s="133">
        <f>'PM &amp; Common'!AF244/160</f>
        <v>0</v>
      </c>
      <c r="AF21" s="133">
        <f>'PM &amp; Common'!AG244/160</f>
        <v>0</v>
      </c>
      <c r="AG21" s="133">
        <f>'PM &amp; Common'!AH244/160</f>
        <v>0</v>
      </c>
      <c r="AH21" s="133">
        <f>'PM &amp; Common'!AI244/160</f>
        <v>0</v>
      </c>
      <c r="AI21" s="133">
        <f>'PM &amp; Common'!AJ244/160</f>
        <v>0</v>
      </c>
      <c r="AJ21" s="133">
        <f>'PM &amp; Common'!AK244/160</f>
        <v>0</v>
      </c>
      <c r="AK21" s="133">
        <f>'PM &amp; Common'!AL244/160</f>
        <v>0</v>
      </c>
      <c r="AL21" s="133">
        <f>'PM &amp; Common'!AM244/160</f>
        <v>0</v>
      </c>
      <c r="AM21" s="137"/>
      <c r="AN21" s="136">
        <f t="shared" si="0"/>
        <v>0</v>
      </c>
    </row>
    <row r="22" spans="1:40" x14ac:dyDescent="0.35">
      <c r="A22" s="132" t="s">
        <v>166</v>
      </c>
      <c r="B22" s="133">
        <f>'PM &amp; Common'!C245/160</f>
        <v>0</v>
      </c>
      <c r="C22" s="133">
        <f>'PM &amp; Common'!D245/160</f>
        <v>0</v>
      </c>
      <c r="D22" s="133">
        <f>'PM &amp; Common'!E245/160</f>
        <v>0</v>
      </c>
      <c r="E22" s="133">
        <f>'PM &amp; Common'!F245/160</f>
        <v>0</v>
      </c>
      <c r="F22" s="133">
        <f>'PM &amp; Common'!G245/160</f>
        <v>0</v>
      </c>
      <c r="G22" s="133">
        <f>'PM &amp; Common'!H245/160</f>
        <v>0</v>
      </c>
      <c r="H22" s="133">
        <f>'PM &amp; Common'!I245/160</f>
        <v>0</v>
      </c>
      <c r="I22" s="133">
        <f>'PM &amp; Common'!J245/160</f>
        <v>0</v>
      </c>
      <c r="J22" s="133">
        <f>'PM &amp; Common'!K245/160</f>
        <v>0</v>
      </c>
      <c r="K22" s="133">
        <f>'PM &amp; Common'!L245/160</f>
        <v>0</v>
      </c>
      <c r="L22" s="133">
        <f>'PM &amp; Common'!M245/160</f>
        <v>0</v>
      </c>
      <c r="M22" s="133">
        <f>'PM &amp; Common'!N245/160</f>
        <v>0</v>
      </c>
      <c r="N22" s="133">
        <f>'PM &amp; Common'!O245/160</f>
        <v>0</v>
      </c>
      <c r="O22" s="133">
        <f>'PM &amp; Common'!P245/160</f>
        <v>0</v>
      </c>
      <c r="P22" s="133">
        <f>'PM &amp; Common'!Q245/160</f>
        <v>0</v>
      </c>
      <c r="Q22" s="133">
        <f>'PM &amp; Common'!R245/160</f>
        <v>0</v>
      </c>
      <c r="R22" s="133">
        <f>'PM &amp; Common'!S245/160</f>
        <v>0</v>
      </c>
      <c r="S22" s="133">
        <f>'PM &amp; Common'!T245/160</f>
        <v>0</v>
      </c>
      <c r="T22" s="133">
        <f>'PM &amp; Common'!U245/160</f>
        <v>0</v>
      </c>
      <c r="U22" s="133">
        <f>'PM &amp; Common'!V245/160</f>
        <v>0</v>
      </c>
      <c r="V22" s="133">
        <f>'PM &amp; Common'!W245/160</f>
        <v>0</v>
      </c>
      <c r="W22" s="133">
        <f>'PM &amp; Common'!X245/160</f>
        <v>0</v>
      </c>
      <c r="X22" s="133">
        <f>'PM &amp; Common'!Y245/160</f>
        <v>0</v>
      </c>
      <c r="Y22" s="133">
        <f>'PM &amp; Common'!Z245/160</f>
        <v>0</v>
      </c>
      <c r="Z22" s="133">
        <f>'PM &amp; Common'!AA245/160</f>
        <v>0</v>
      </c>
      <c r="AA22" s="133">
        <f>'PM &amp; Common'!AB245/160</f>
        <v>0</v>
      </c>
      <c r="AB22" s="133">
        <f>'PM &amp; Common'!AC245/160</f>
        <v>0</v>
      </c>
      <c r="AC22" s="133">
        <f>'PM &amp; Common'!AD245/160</f>
        <v>0</v>
      </c>
      <c r="AD22" s="133">
        <f>'PM &amp; Common'!AE245/160</f>
        <v>0</v>
      </c>
      <c r="AE22" s="133">
        <f>'PM &amp; Common'!AF245/160</f>
        <v>0</v>
      </c>
      <c r="AF22" s="133">
        <f>'PM &amp; Common'!AG245/160</f>
        <v>0</v>
      </c>
      <c r="AG22" s="133">
        <f>'PM &amp; Common'!AH245/160</f>
        <v>0</v>
      </c>
      <c r="AH22" s="133">
        <f>'PM &amp; Common'!AI245/160</f>
        <v>0</v>
      </c>
      <c r="AI22" s="133">
        <f>'PM &amp; Common'!AJ245/160</f>
        <v>0</v>
      </c>
      <c r="AJ22" s="133">
        <f>'PM &amp; Common'!AK245/160</f>
        <v>0</v>
      </c>
      <c r="AK22" s="133">
        <f>'PM &amp; Common'!AL245/160</f>
        <v>0</v>
      </c>
      <c r="AL22" s="133">
        <f>'PM &amp; Common'!AM245/160</f>
        <v>0</v>
      </c>
      <c r="AM22" s="137"/>
      <c r="AN22" s="136">
        <f t="shared" si="0"/>
        <v>0</v>
      </c>
    </row>
  </sheetData>
  <mergeCells count="9">
    <mergeCell ref="X3:Z3"/>
    <mergeCell ref="AA3:AD3"/>
    <mergeCell ref="AE3:AH3"/>
    <mergeCell ref="AJ3:AL3"/>
    <mergeCell ref="B3:F3"/>
    <mergeCell ref="G3:J3"/>
    <mergeCell ref="K3:Q3"/>
    <mergeCell ref="S3:T3"/>
    <mergeCell ref="U3:W3"/>
  </mergeCells>
  <conditionalFormatting sqref="B5:AL22">
    <cfRule type="cellIs" dxfId="5" priority="1" operator="between">
      <formula>0</formula>
      <formula>0.249</formula>
    </cfRule>
    <cfRule type="cellIs" dxfId="4" priority="2" operator="between">
      <formula>0.495</formula>
      <formula>0.25</formula>
    </cfRule>
    <cfRule type="cellIs" dxfId="3" priority="3" operator="between">
      <formula>0.749</formula>
      <formula>0.5</formula>
    </cfRule>
    <cfRule type="cellIs" dxfId="2" priority="4" operator="between">
      <formula>1</formula>
      <formula>0.75</formula>
    </cfRule>
    <cfRule type="cellIs" dxfId="1" priority="5" operator="greaterThan">
      <formula>1</formula>
    </cfRule>
    <cfRule type="cellIs" dxfId="0" priority="6" operator="greaterThan">
      <formula>80</formula>
    </cfRule>
  </conditionalFormatting>
  <pageMargins left="0.7" right="0.7" top="0.75" bottom="0.75" header="0.3" footer="0.3"/>
  <pageSetup paperSize="8" scale="53" orientation="landscape" r:id="rId1"/>
  <headerFooter>
    <oddFooter xml:space="preserve">&amp;LRestricted </oddFooter>
    <evenFooter xml:space="preserve">&amp;LRestricted </evenFooter>
    <firstFooter xml:space="preserve">&amp;LRestricted 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="85" zoomScaleNormal="85" workbookViewId="0">
      <selection activeCell="D16" sqref="D16"/>
    </sheetView>
  </sheetViews>
  <sheetFormatPr defaultRowHeight="14.5" x14ac:dyDescent="0.35"/>
  <cols>
    <col min="1" max="1" width="33.453125" customWidth="1"/>
    <col min="2" max="2" width="12" bestFit="1" customWidth="1"/>
    <col min="3" max="3" width="11.54296875" customWidth="1"/>
    <col min="4" max="4" width="17" customWidth="1"/>
  </cols>
  <sheetData>
    <row r="1" spans="1:4" x14ac:dyDescent="0.35">
      <c r="A1" s="6" t="s">
        <v>172</v>
      </c>
      <c r="B1" s="6" t="s">
        <v>173</v>
      </c>
      <c r="C1" s="6" t="s">
        <v>174</v>
      </c>
      <c r="D1" s="6" t="s">
        <v>175</v>
      </c>
    </row>
    <row r="2" spans="1:4" x14ac:dyDescent="0.35">
      <c r="A2" t="s">
        <v>176</v>
      </c>
    </row>
    <row r="3" spans="1:4" x14ac:dyDescent="0.35">
      <c r="A3" s="174" t="s">
        <v>127</v>
      </c>
    </row>
    <row r="4" spans="1:4" x14ac:dyDescent="0.35">
      <c r="A4" t="s">
        <v>177</v>
      </c>
    </row>
    <row r="5" spans="1:4" x14ac:dyDescent="0.35">
      <c r="A5" s="174" t="s">
        <v>178</v>
      </c>
    </row>
    <row r="6" spans="1:4" x14ac:dyDescent="0.35">
      <c r="A6" s="174" t="s">
        <v>179</v>
      </c>
    </row>
    <row r="7" spans="1:4" x14ac:dyDescent="0.35">
      <c r="A7" s="174" t="s">
        <v>180</v>
      </c>
    </row>
    <row r="8" spans="1:4" x14ac:dyDescent="0.35">
      <c r="A8" s="174" t="s">
        <v>181</v>
      </c>
    </row>
    <row r="9" spans="1:4" x14ac:dyDescent="0.35">
      <c r="A9" s="174" t="s">
        <v>182</v>
      </c>
    </row>
    <row r="10" spans="1:4" x14ac:dyDescent="0.35">
      <c r="A10" s="174" t="s">
        <v>183</v>
      </c>
    </row>
    <row r="11" spans="1:4" x14ac:dyDescent="0.35">
      <c r="A11" s="174" t="s">
        <v>184</v>
      </c>
    </row>
    <row r="12" spans="1:4" x14ac:dyDescent="0.35">
      <c r="A12" t="s">
        <v>185</v>
      </c>
    </row>
    <row r="13" spans="1:4" x14ac:dyDescent="0.35">
      <c r="A13" s="174" t="s">
        <v>186</v>
      </c>
    </row>
    <row r="14" spans="1:4" x14ac:dyDescent="0.35">
      <c r="A14" s="174" t="s">
        <v>187</v>
      </c>
    </row>
    <row r="15" spans="1:4" x14ac:dyDescent="0.35">
      <c r="A15" t="s">
        <v>188</v>
      </c>
    </row>
    <row r="16" spans="1:4" x14ac:dyDescent="0.35">
      <c r="A16" s="174" t="s">
        <v>134</v>
      </c>
    </row>
    <row r="17" spans="1:4" x14ac:dyDescent="0.35">
      <c r="A17" t="s">
        <v>189</v>
      </c>
    </row>
    <row r="18" spans="1:4" x14ac:dyDescent="0.35">
      <c r="A18" s="174" t="s">
        <v>190</v>
      </c>
    </row>
    <row r="19" spans="1:4" x14ac:dyDescent="0.35">
      <c r="A19" s="174" t="s">
        <v>191</v>
      </c>
    </row>
    <row r="20" spans="1:4" x14ac:dyDescent="0.35">
      <c r="A20" t="s">
        <v>192</v>
      </c>
    </row>
    <row r="21" spans="1:4" x14ac:dyDescent="0.35">
      <c r="A21" s="174" t="s">
        <v>193</v>
      </c>
    </row>
    <row r="22" spans="1:4" x14ac:dyDescent="0.35">
      <c r="A22" s="174" t="s">
        <v>194</v>
      </c>
    </row>
    <row r="23" spans="1:4" x14ac:dyDescent="0.35">
      <c r="A23" s="174" t="s">
        <v>195</v>
      </c>
    </row>
    <row r="24" spans="1:4" x14ac:dyDescent="0.35">
      <c r="A24" s="174" t="s">
        <v>196</v>
      </c>
    </row>
    <row r="25" spans="1:4" x14ac:dyDescent="0.35">
      <c r="A25" s="16"/>
    </row>
    <row r="26" spans="1:4" x14ac:dyDescent="0.35">
      <c r="A26" s="6" t="s">
        <v>197</v>
      </c>
      <c r="B26" s="6">
        <f>SUM(B2:B24)</f>
        <v>0</v>
      </c>
      <c r="C26" s="6">
        <f>SUM(C2:C24)</f>
        <v>0</v>
      </c>
      <c r="D26" s="6">
        <f>SUM(D2:D24)</f>
        <v>0</v>
      </c>
    </row>
    <row r="28" spans="1:4" x14ac:dyDescent="0.35">
      <c r="A28" s="6" t="s">
        <v>198</v>
      </c>
      <c r="B28" s="6" t="s">
        <v>199</v>
      </c>
      <c r="C28" s="6" t="s">
        <v>200</v>
      </c>
      <c r="D28" s="6" t="s">
        <v>201</v>
      </c>
    </row>
    <row r="29" spans="1:4" x14ac:dyDescent="0.35">
      <c r="A29" t="s">
        <v>202</v>
      </c>
      <c r="B29" s="173">
        <v>750</v>
      </c>
      <c r="C29">
        <f>B26</f>
        <v>0</v>
      </c>
      <c r="D29" s="13">
        <f>B29*C29</f>
        <v>0</v>
      </c>
    </row>
    <row r="31" spans="1:4" x14ac:dyDescent="0.35">
      <c r="A31" s="6" t="s">
        <v>203</v>
      </c>
      <c r="B31" s="6" t="s">
        <v>199</v>
      </c>
      <c r="C31" s="6" t="s">
        <v>200</v>
      </c>
      <c r="D31" s="6" t="s">
        <v>201</v>
      </c>
    </row>
    <row r="32" spans="1:4" x14ac:dyDescent="0.35">
      <c r="A32" t="s">
        <v>204</v>
      </c>
      <c r="B32" s="173">
        <f>((2*300*3.5)+(2*250))/7.45</f>
        <v>348.99328859060404</v>
      </c>
      <c r="C32" s="6">
        <f>C26</f>
        <v>0</v>
      </c>
      <c r="D32" s="13">
        <f>B32*C32</f>
        <v>0</v>
      </c>
    </row>
    <row r="34" spans="1:4" x14ac:dyDescent="0.35">
      <c r="A34" s="6" t="s">
        <v>205</v>
      </c>
    </row>
    <row r="35" spans="1:4" x14ac:dyDescent="0.35">
      <c r="A35" t="s">
        <v>206</v>
      </c>
      <c r="B35" s="173">
        <v>130</v>
      </c>
      <c r="C35">
        <f>D26</f>
        <v>0</v>
      </c>
      <c r="D35" s="13">
        <f t="shared" ref="D35:D37" si="0">B35*C35</f>
        <v>0</v>
      </c>
    </row>
    <row r="36" spans="1:4" x14ac:dyDescent="0.35">
      <c r="A36" t="s">
        <v>207</v>
      </c>
      <c r="B36" s="173">
        <v>0</v>
      </c>
      <c r="C36">
        <f>D26</f>
        <v>0</v>
      </c>
      <c r="D36" s="13">
        <f t="shared" si="0"/>
        <v>0</v>
      </c>
    </row>
    <row r="37" spans="1:4" x14ac:dyDescent="0.35">
      <c r="A37" t="s">
        <v>208</v>
      </c>
      <c r="B37" s="173">
        <v>75</v>
      </c>
      <c r="C37">
        <f>D26</f>
        <v>0</v>
      </c>
      <c r="D37" s="13">
        <f t="shared" si="0"/>
        <v>0</v>
      </c>
    </row>
    <row r="39" spans="1:4" x14ac:dyDescent="0.35">
      <c r="A39" s="6" t="s">
        <v>170</v>
      </c>
      <c r="B39" s="6"/>
      <c r="C39" s="6"/>
      <c r="D39" s="12">
        <f>SUM(D29:D37)</f>
        <v>0</v>
      </c>
    </row>
  </sheetData>
  <pageMargins left="0.7" right="0.7" top="0.75" bottom="0.75" header="0.3" footer="0.3"/>
  <pageSetup paperSize="9" orientation="portrait" horizontalDpi="300" verticalDpi="300" r:id="rId1"/>
  <headerFooter>
    <oddFooter xml:space="preserve">&amp;LRestricted </oddFooter>
    <evenFooter xml:space="preserve">&amp;LRestricted </evenFooter>
    <firstFooter xml:space="preserve">&amp;LRestricted 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6"/>
  <sheetViews>
    <sheetView showGridLines="0" view="pageBreakPreview" zoomScale="80" zoomScaleNormal="100" zoomScaleSheetLayoutView="80" workbookViewId="0">
      <selection activeCell="I28" sqref="I28"/>
    </sheetView>
  </sheetViews>
  <sheetFormatPr defaultColWidth="8.7265625" defaultRowHeight="12.5" x14ac:dyDescent="0.25"/>
  <cols>
    <col min="1" max="1" width="8.7265625" style="21"/>
    <col min="2" max="2" width="4.453125" style="21" customWidth="1"/>
    <col min="3" max="5" width="8.7265625" style="21"/>
    <col min="6" max="6" width="10.1796875" style="21" customWidth="1"/>
    <col min="7" max="7" width="8.1796875" style="21" bestFit="1" customWidth="1"/>
    <col min="8" max="8" width="8.1796875" style="21" customWidth="1"/>
    <col min="9" max="16384" width="8.7265625" style="21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3" thickBo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3" x14ac:dyDescent="0.3">
      <c r="A3" s="22"/>
      <c r="B3" s="42"/>
      <c r="C3" s="95" t="s">
        <v>121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0"/>
      <c r="O3" s="22"/>
    </row>
    <row r="4" spans="1:15" x14ac:dyDescent="0.25">
      <c r="A4" s="22"/>
      <c r="B4" s="30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6"/>
      <c r="O4" s="22"/>
    </row>
    <row r="5" spans="1:15" ht="13.5" thickBot="1" x14ac:dyDescent="0.35">
      <c r="A5" s="22"/>
      <c r="B5" s="30"/>
      <c r="C5" s="33" t="s">
        <v>209</v>
      </c>
      <c r="D5" s="27"/>
      <c r="E5" s="27"/>
      <c r="F5" s="27"/>
      <c r="G5" s="33" t="s">
        <v>210</v>
      </c>
      <c r="H5" s="33" t="s">
        <v>211</v>
      </c>
      <c r="I5" s="27"/>
      <c r="J5" s="27"/>
      <c r="K5" s="27"/>
      <c r="L5" s="27"/>
      <c r="M5" s="27"/>
      <c r="N5" s="26"/>
      <c r="O5" s="22"/>
    </row>
    <row r="6" spans="1:15" x14ac:dyDescent="0.25">
      <c r="A6" s="22"/>
      <c r="B6" s="30"/>
      <c r="C6" s="39" t="s">
        <v>212</v>
      </c>
      <c r="D6" s="38"/>
      <c r="E6" s="38"/>
      <c r="F6" s="38"/>
      <c r="G6" s="112">
        <v>38</v>
      </c>
      <c r="H6" s="94" t="s">
        <v>213</v>
      </c>
      <c r="I6" s="27"/>
      <c r="J6" s="27"/>
      <c r="K6" s="27"/>
      <c r="L6" s="27"/>
      <c r="M6" s="27"/>
      <c r="N6" s="26"/>
      <c r="O6" s="22"/>
    </row>
    <row r="7" spans="1:15" x14ac:dyDescent="0.25">
      <c r="A7" s="22"/>
      <c r="B7" s="30"/>
      <c r="C7" s="37" t="s">
        <v>214</v>
      </c>
      <c r="D7" s="100"/>
      <c r="E7" s="100"/>
      <c r="F7" s="111"/>
      <c r="G7" s="113">
        <v>16</v>
      </c>
      <c r="H7" s="94" t="s">
        <v>215</v>
      </c>
      <c r="I7" s="27"/>
      <c r="J7" s="27"/>
      <c r="K7" s="27"/>
      <c r="L7" s="27"/>
      <c r="M7" s="27"/>
      <c r="N7" s="26"/>
      <c r="O7" s="22"/>
    </row>
    <row r="8" spans="1:15" x14ac:dyDescent="0.25">
      <c r="A8" s="22"/>
      <c r="B8" s="30"/>
      <c r="C8" s="36" t="s">
        <v>216</v>
      </c>
      <c r="D8" s="100"/>
      <c r="E8" s="100"/>
      <c r="F8" s="111"/>
      <c r="G8" s="113">
        <v>4</v>
      </c>
      <c r="H8" s="94" t="s">
        <v>217</v>
      </c>
      <c r="I8" s="27"/>
      <c r="J8" s="27"/>
      <c r="K8" s="27"/>
      <c r="L8" s="27"/>
      <c r="M8" s="27"/>
      <c r="N8" s="26"/>
      <c r="O8" s="22"/>
    </row>
    <row r="9" spans="1:15" x14ac:dyDescent="0.25">
      <c r="A9" s="22"/>
      <c r="B9" s="30"/>
      <c r="C9" s="36" t="s">
        <v>218</v>
      </c>
      <c r="D9" s="100"/>
      <c r="E9" s="100"/>
      <c r="F9" s="100"/>
      <c r="G9" s="113">
        <v>9</v>
      </c>
      <c r="H9" s="94" t="s">
        <v>219</v>
      </c>
      <c r="I9" s="27"/>
      <c r="J9" s="27"/>
      <c r="K9" s="27"/>
      <c r="L9" s="27"/>
      <c r="M9" s="27"/>
      <c r="N9" s="26"/>
      <c r="O9" s="22"/>
    </row>
    <row r="10" spans="1:15" x14ac:dyDescent="0.25">
      <c r="A10" s="22"/>
      <c r="B10" s="30"/>
      <c r="C10" s="36" t="s">
        <v>220</v>
      </c>
      <c r="D10" s="100"/>
      <c r="E10" s="100"/>
      <c r="F10" s="100"/>
      <c r="G10" s="113"/>
      <c r="H10" s="94" t="s">
        <v>221</v>
      </c>
      <c r="I10" s="27"/>
      <c r="J10" s="27"/>
      <c r="K10" s="27"/>
      <c r="L10" s="27"/>
      <c r="M10" s="27"/>
      <c r="N10" s="26"/>
      <c r="O10" s="22"/>
    </row>
    <row r="11" spans="1:15" x14ac:dyDescent="0.25">
      <c r="A11" s="22"/>
      <c r="B11" s="30"/>
      <c r="C11" s="36" t="s">
        <v>222</v>
      </c>
      <c r="D11" s="100"/>
      <c r="E11" s="100"/>
      <c r="F11" s="100"/>
      <c r="G11" s="113">
        <v>6</v>
      </c>
      <c r="H11" s="94" t="s">
        <v>223</v>
      </c>
      <c r="I11" s="27"/>
      <c r="J11" s="27"/>
      <c r="K11" s="27"/>
      <c r="L11" s="27"/>
      <c r="M11" s="27"/>
      <c r="N11" s="26"/>
      <c r="O11" s="22"/>
    </row>
    <row r="12" spans="1:15" x14ac:dyDescent="0.25">
      <c r="A12" s="22"/>
      <c r="B12" s="30"/>
      <c r="C12" s="36" t="s">
        <v>224</v>
      </c>
      <c r="D12" s="100"/>
      <c r="E12" s="100"/>
      <c r="F12" s="100"/>
      <c r="G12" s="113">
        <v>48</v>
      </c>
      <c r="H12" s="94" t="s">
        <v>225</v>
      </c>
      <c r="I12" s="27"/>
      <c r="J12" s="27"/>
      <c r="K12" s="27"/>
      <c r="L12" s="27"/>
      <c r="M12" s="27"/>
      <c r="N12" s="26"/>
      <c r="O12" s="22"/>
    </row>
    <row r="13" spans="1:15" ht="13" thickBot="1" x14ac:dyDescent="0.3">
      <c r="A13" s="22"/>
      <c r="B13" s="30"/>
      <c r="C13" s="35" t="s">
        <v>226</v>
      </c>
      <c r="D13" s="34"/>
      <c r="E13" s="34"/>
      <c r="F13" s="34"/>
      <c r="G13" s="114">
        <v>0</v>
      </c>
      <c r="H13" s="94" t="s">
        <v>227</v>
      </c>
      <c r="I13" s="27"/>
      <c r="J13" s="27"/>
      <c r="K13" s="27"/>
      <c r="L13" s="27"/>
      <c r="M13" s="27"/>
      <c r="N13" s="26"/>
      <c r="O13" s="22"/>
    </row>
    <row r="14" spans="1:15" x14ac:dyDescent="0.25">
      <c r="A14" s="22"/>
      <c r="B14" s="30"/>
      <c r="C14" s="36" t="s">
        <v>228</v>
      </c>
      <c r="D14" s="100"/>
      <c r="E14" s="100"/>
      <c r="F14" s="100"/>
      <c r="G14" s="115">
        <v>48</v>
      </c>
      <c r="H14" s="94" t="s">
        <v>229</v>
      </c>
      <c r="I14" s="27"/>
      <c r="J14" s="27"/>
      <c r="K14" s="27"/>
      <c r="L14" s="27"/>
      <c r="M14" s="27"/>
      <c r="N14" s="26"/>
      <c r="O14" s="22"/>
    </row>
    <row r="15" spans="1:15" x14ac:dyDescent="0.25">
      <c r="A15" s="22"/>
      <c r="B15" s="30"/>
      <c r="C15" s="36" t="s">
        <v>230</v>
      </c>
      <c r="D15" s="100"/>
      <c r="E15" s="100"/>
      <c r="F15" s="100"/>
      <c r="G15" s="113">
        <v>6</v>
      </c>
      <c r="H15" s="94" t="s">
        <v>231</v>
      </c>
      <c r="I15" s="27"/>
      <c r="J15" s="27"/>
      <c r="K15" s="27"/>
      <c r="L15" s="27"/>
      <c r="M15" s="27"/>
      <c r="N15" s="26"/>
      <c r="O15" s="22"/>
    </row>
    <row r="16" spans="1:15" x14ac:dyDescent="0.25">
      <c r="A16" s="22"/>
      <c r="B16" s="30"/>
      <c r="C16" s="36" t="s">
        <v>232</v>
      </c>
      <c r="D16" s="100"/>
      <c r="E16" s="100"/>
      <c r="F16" s="100"/>
      <c r="G16" s="113">
        <v>48</v>
      </c>
      <c r="H16" s="94" t="s">
        <v>233</v>
      </c>
      <c r="I16" s="27"/>
      <c r="J16" s="27"/>
      <c r="K16" s="27"/>
      <c r="L16" s="27"/>
      <c r="M16" s="27"/>
      <c r="N16" s="26"/>
      <c r="O16" s="22"/>
    </row>
    <row r="17" spans="1:15" x14ac:dyDescent="0.25">
      <c r="A17" s="22"/>
      <c r="B17" s="30"/>
      <c r="C17" s="36" t="s">
        <v>234</v>
      </c>
      <c r="D17" s="100"/>
      <c r="E17" s="100"/>
      <c r="F17" s="100"/>
      <c r="G17" s="113">
        <v>6</v>
      </c>
      <c r="H17" s="94" t="s">
        <v>235</v>
      </c>
      <c r="I17" s="27"/>
      <c r="J17" s="27"/>
      <c r="K17" s="27"/>
      <c r="L17" s="27"/>
      <c r="M17" s="27"/>
      <c r="N17" s="26"/>
      <c r="O17" s="22"/>
    </row>
    <row r="18" spans="1:15" x14ac:dyDescent="0.25">
      <c r="A18" s="22"/>
      <c r="B18" s="30"/>
      <c r="C18" s="36" t="s">
        <v>236</v>
      </c>
      <c r="D18" s="100"/>
      <c r="E18" s="100"/>
      <c r="F18" s="100"/>
      <c r="G18" s="113">
        <v>0</v>
      </c>
      <c r="H18" s="94" t="s">
        <v>237</v>
      </c>
      <c r="I18" s="27"/>
      <c r="J18" s="27"/>
      <c r="K18" s="27"/>
      <c r="L18" s="27"/>
      <c r="M18" s="27"/>
      <c r="N18" s="26"/>
      <c r="O18" s="22"/>
    </row>
    <row r="19" spans="1:15" x14ac:dyDescent="0.25">
      <c r="A19" s="22"/>
      <c r="B19" s="30"/>
      <c r="C19" s="36" t="s">
        <v>238</v>
      </c>
      <c r="D19" s="100"/>
      <c r="E19" s="100"/>
      <c r="F19" s="100"/>
      <c r="G19" s="113">
        <v>0</v>
      </c>
      <c r="H19" s="94" t="s">
        <v>239</v>
      </c>
      <c r="I19" s="27"/>
      <c r="J19" s="27"/>
      <c r="K19" s="27"/>
      <c r="L19" s="27"/>
      <c r="M19" s="27"/>
      <c r="N19" s="26"/>
      <c r="O19" s="22"/>
    </row>
    <row r="20" spans="1:15" x14ac:dyDescent="0.25">
      <c r="A20" s="22"/>
      <c r="B20" s="30"/>
      <c r="C20" s="36" t="s">
        <v>240</v>
      </c>
      <c r="D20" s="100"/>
      <c r="E20" s="100"/>
      <c r="F20" s="100"/>
      <c r="G20" s="113">
        <v>0</v>
      </c>
      <c r="H20" s="94" t="s">
        <v>241</v>
      </c>
      <c r="I20" s="27"/>
      <c r="J20" s="27"/>
      <c r="K20" s="27"/>
      <c r="L20" s="27"/>
      <c r="M20" s="27"/>
      <c r="N20" s="26"/>
      <c r="O20" s="22"/>
    </row>
    <row r="21" spans="1:15" x14ac:dyDescent="0.25">
      <c r="A21" s="22"/>
      <c r="B21" s="30"/>
      <c r="C21" s="36" t="s">
        <v>242</v>
      </c>
      <c r="D21" s="100"/>
      <c r="E21" s="100"/>
      <c r="F21" s="100"/>
      <c r="G21" s="113">
        <v>0</v>
      </c>
      <c r="H21" s="94" t="s">
        <v>243</v>
      </c>
      <c r="I21" s="27"/>
      <c r="J21" s="27"/>
      <c r="K21" s="27"/>
      <c r="L21" s="27"/>
      <c r="M21" s="27"/>
      <c r="N21" s="26"/>
      <c r="O21" s="22"/>
    </row>
    <row r="22" spans="1:15" x14ac:dyDescent="0.25">
      <c r="A22" s="22"/>
      <c r="B22" s="30"/>
      <c r="C22" s="36" t="s">
        <v>244</v>
      </c>
      <c r="D22" s="100"/>
      <c r="E22" s="100"/>
      <c r="F22" s="100" t="s">
        <v>245</v>
      </c>
      <c r="G22" s="113">
        <v>1.3</v>
      </c>
      <c r="H22" s="94" t="s">
        <v>246</v>
      </c>
      <c r="I22" s="27"/>
      <c r="J22" s="27"/>
      <c r="K22" s="27"/>
      <c r="L22" s="27"/>
      <c r="M22" s="27"/>
      <c r="N22" s="26"/>
      <c r="O22" s="22"/>
    </row>
    <row r="23" spans="1:15" ht="13" thickBot="1" x14ac:dyDescent="0.3">
      <c r="A23" s="22"/>
      <c r="B23" s="30"/>
      <c r="C23" s="35" t="s">
        <v>247</v>
      </c>
      <c r="D23" s="34"/>
      <c r="E23" s="34"/>
      <c r="F23" s="34" t="s">
        <v>248</v>
      </c>
      <c r="G23" s="114">
        <v>2</v>
      </c>
      <c r="H23" s="94" t="s">
        <v>249</v>
      </c>
      <c r="I23" s="27"/>
      <c r="J23" s="27"/>
      <c r="K23" s="27"/>
      <c r="L23" s="27"/>
      <c r="M23" s="27"/>
      <c r="N23" s="26"/>
      <c r="O23" s="22"/>
    </row>
    <row r="24" spans="1:15" x14ac:dyDescent="0.25">
      <c r="A24" s="22"/>
      <c r="B24" s="30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/>
      <c r="O24" s="22"/>
    </row>
    <row r="25" spans="1:15" x14ac:dyDescent="0.25">
      <c r="A25" s="22"/>
      <c r="B25" s="30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/>
      <c r="O25" s="22"/>
    </row>
    <row r="26" spans="1:15" ht="13" x14ac:dyDescent="0.3">
      <c r="A26" s="22"/>
      <c r="B26" s="30"/>
      <c r="C26" s="33" t="s">
        <v>250</v>
      </c>
      <c r="D26" s="27"/>
      <c r="E26" s="27"/>
      <c r="F26" s="27"/>
      <c r="G26" s="32">
        <v>0</v>
      </c>
      <c r="H26" s="32"/>
      <c r="I26" s="27"/>
      <c r="J26" s="27"/>
      <c r="K26" s="27"/>
      <c r="L26" s="27"/>
      <c r="M26" s="27"/>
      <c r="N26" s="26"/>
      <c r="O26" s="22"/>
    </row>
    <row r="27" spans="1:15" ht="13" x14ac:dyDescent="0.3">
      <c r="A27" s="22"/>
      <c r="B27" s="30"/>
      <c r="C27" s="29" t="s">
        <v>251</v>
      </c>
      <c r="D27" s="29"/>
      <c r="E27" s="29"/>
      <c r="F27" s="29"/>
      <c r="G27" s="31">
        <f>SUM(G29:G31)/x</f>
        <v>178.84210526315789</v>
      </c>
      <c r="H27" s="31"/>
      <c r="I27" s="27"/>
      <c r="J27" s="27"/>
      <c r="K27" s="27"/>
      <c r="L27" s="27"/>
      <c r="M27" s="27"/>
      <c r="N27" s="26"/>
      <c r="O27" s="22"/>
    </row>
    <row r="28" spans="1:15" ht="13" x14ac:dyDescent="0.3">
      <c r="A28" s="22"/>
      <c r="B28" s="30"/>
      <c r="C28" s="29" t="s">
        <v>170</v>
      </c>
      <c r="D28" s="29"/>
      <c r="E28" s="29"/>
      <c r="F28" s="29"/>
      <c r="G28" s="31">
        <f>SUM(G29:G31)</f>
        <v>6796</v>
      </c>
      <c r="H28" s="31"/>
      <c r="I28" s="27"/>
      <c r="J28" s="27"/>
      <c r="K28" s="27"/>
      <c r="L28" s="27"/>
      <c r="M28" s="27"/>
      <c r="N28" s="26"/>
      <c r="O28" s="22"/>
    </row>
    <row r="29" spans="1:15" x14ac:dyDescent="0.25">
      <c r="A29" s="22"/>
      <c r="B29" s="30"/>
      <c r="C29" s="29" t="s">
        <v>252</v>
      </c>
      <c r="D29" s="29"/>
      <c r="E29" s="29"/>
      <c r="F29" s="29"/>
      <c r="G29" s="28">
        <f>'66kV GIS TPM+Eng'!E117</f>
        <v>1730.4</v>
      </c>
      <c r="H29" s="28"/>
      <c r="I29" s="27"/>
      <c r="J29" s="27"/>
      <c r="K29" s="27"/>
      <c r="L29" s="27"/>
      <c r="M29" s="27"/>
      <c r="N29" s="26"/>
      <c r="O29" s="22"/>
    </row>
    <row r="30" spans="1:15" x14ac:dyDescent="0.25">
      <c r="A30" s="22"/>
      <c r="B30" s="30"/>
      <c r="C30" s="29" t="s">
        <v>253</v>
      </c>
      <c r="D30" s="29"/>
      <c r="E30" s="29"/>
      <c r="F30" s="29"/>
      <c r="G30" s="28">
        <f>'66kV GIS TPM+Eng'!F117</f>
        <v>4369.6000000000004</v>
      </c>
      <c r="H30" s="28"/>
      <c r="I30" s="27"/>
      <c r="J30" s="27"/>
      <c r="K30" s="27"/>
      <c r="L30" s="27"/>
      <c r="M30" s="27"/>
      <c r="N30" s="26"/>
      <c r="O30" s="22"/>
    </row>
    <row r="31" spans="1:15" x14ac:dyDescent="0.25">
      <c r="A31" s="22"/>
      <c r="B31" s="30"/>
      <c r="C31" s="29" t="s">
        <v>254</v>
      </c>
      <c r="D31" s="29"/>
      <c r="E31" s="29"/>
      <c r="F31" s="29"/>
      <c r="G31" s="28">
        <f>'66kV GIS TPM+Eng'!G117</f>
        <v>696</v>
      </c>
      <c r="H31" s="28"/>
      <c r="I31" s="27"/>
      <c r="J31" s="27"/>
      <c r="K31" s="27"/>
      <c r="L31" s="27"/>
      <c r="M31" s="27"/>
      <c r="N31" s="26"/>
      <c r="O31" s="22"/>
    </row>
    <row r="32" spans="1:15" ht="13" thickBot="1" x14ac:dyDescent="0.3">
      <c r="A32" s="22"/>
      <c r="B32" s="2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3"/>
      <c r="O32" s="22"/>
    </row>
    <row r="33" spans="1:15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1:15" ht="13" thickBo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1:15" ht="13" x14ac:dyDescent="0.3">
      <c r="A35" s="22"/>
      <c r="B35" s="42"/>
      <c r="C35" s="95" t="s">
        <v>255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0"/>
      <c r="O35" s="22"/>
    </row>
    <row r="36" spans="1:15" x14ac:dyDescent="0.25">
      <c r="A36" s="22"/>
      <c r="B36" s="30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/>
      <c r="O36" s="22"/>
    </row>
    <row r="37" spans="1:15" ht="13.5" thickBot="1" x14ac:dyDescent="0.35">
      <c r="A37" s="22"/>
      <c r="B37" s="30"/>
      <c r="C37" s="33" t="s">
        <v>209</v>
      </c>
      <c r="D37" s="27"/>
      <c r="E37" s="27"/>
      <c r="F37" s="27"/>
      <c r="G37" s="33" t="s">
        <v>210</v>
      </c>
      <c r="H37" s="33" t="s">
        <v>211</v>
      </c>
      <c r="I37" s="27"/>
      <c r="J37" s="27"/>
      <c r="K37" s="27"/>
      <c r="L37" s="27"/>
      <c r="M37" s="27"/>
      <c r="N37" s="26"/>
      <c r="O37" s="22"/>
    </row>
    <row r="38" spans="1:15" x14ac:dyDescent="0.25">
      <c r="A38" s="22"/>
      <c r="B38" s="30"/>
      <c r="C38" s="39" t="s">
        <v>212</v>
      </c>
      <c r="D38" s="38"/>
      <c r="E38" s="38"/>
      <c r="F38" s="38"/>
      <c r="G38" s="112">
        <v>38</v>
      </c>
      <c r="H38" s="94" t="s">
        <v>256</v>
      </c>
      <c r="I38" s="27"/>
      <c r="J38" s="27"/>
      <c r="K38" s="27"/>
      <c r="L38" s="27"/>
      <c r="M38" s="27"/>
      <c r="N38" s="26"/>
      <c r="O38" s="22"/>
    </row>
    <row r="39" spans="1:15" x14ac:dyDescent="0.25">
      <c r="A39" s="22"/>
      <c r="B39" s="30"/>
      <c r="C39" s="37" t="s">
        <v>214</v>
      </c>
      <c r="D39" s="100"/>
      <c r="E39" s="100"/>
      <c r="F39" s="111"/>
      <c r="G39" s="113">
        <v>6</v>
      </c>
      <c r="H39" s="94" t="s">
        <v>257</v>
      </c>
      <c r="I39" s="27"/>
      <c r="J39" s="27"/>
      <c r="K39" s="27"/>
      <c r="L39" s="27"/>
      <c r="M39" s="27"/>
      <c r="N39" s="26"/>
      <c r="O39" s="22"/>
    </row>
    <row r="40" spans="1:15" x14ac:dyDescent="0.25">
      <c r="A40" s="22"/>
      <c r="B40" s="30"/>
      <c r="C40" s="36" t="s">
        <v>216</v>
      </c>
      <c r="D40" s="100"/>
      <c r="E40" s="100"/>
      <c r="F40" s="111"/>
      <c r="G40" s="113">
        <v>4</v>
      </c>
      <c r="H40" s="94" t="s">
        <v>258</v>
      </c>
      <c r="I40" s="27"/>
      <c r="J40" s="27"/>
      <c r="K40" s="27"/>
      <c r="L40" s="27"/>
      <c r="M40" s="27"/>
      <c r="N40" s="26"/>
      <c r="O40" s="22"/>
    </row>
    <row r="41" spans="1:15" x14ac:dyDescent="0.25">
      <c r="A41" s="22"/>
      <c r="B41" s="30"/>
      <c r="C41" s="36" t="s">
        <v>218</v>
      </c>
      <c r="D41" s="100"/>
      <c r="E41" s="100"/>
      <c r="F41" s="100"/>
      <c r="G41" s="113">
        <v>9</v>
      </c>
      <c r="H41" s="94" t="s">
        <v>259</v>
      </c>
      <c r="I41" s="27"/>
      <c r="J41" s="27"/>
      <c r="K41" s="27"/>
      <c r="L41" s="27"/>
      <c r="M41" s="27"/>
      <c r="N41" s="26"/>
      <c r="O41" s="22"/>
    </row>
    <row r="42" spans="1:15" x14ac:dyDescent="0.25">
      <c r="A42" s="22"/>
      <c r="B42" s="30"/>
      <c r="C42" s="36" t="s">
        <v>220</v>
      </c>
      <c r="D42" s="100"/>
      <c r="E42" s="100"/>
      <c r="F42" s="100"/>
      <c r="G42" s="113"/>
      <c r="H42" s="94" t="s">
        <v>260</v>
      </c>
      <c r="I42" s="27"/>
      <c r="J42" s="27"/>
      <c r="K42" s="27"/>
      <c r="L42" s="27"/>
      <c r="M42" s="27"/>
      <c r="N42" s="26"/>
      <c r="O42" s="22"/>
    </row>
    <row r="43" spans="1:15" x14ac:dyDescent="0.25">
      <c r="A43" s="22"/>
      <c r="B43" s="30"/>
      <c r="C43" s="36" t="s">
        <v>222</v>
      </c>
      <c r="D43" s="100"/>
      <c r="E43" s="100"/>
      <c r="F43" s="100"/>
      <c r="G43" s="113">
        <v>1</v>
      </c>
      <c r="H43" s="94" t="s">
        <v>261</v>
      </c>
      <c r="I43" s="27"/>
      <c r="J43" s="27"/>
      <c r="K43" s="27"/>
      <c r="L43" s="27"/>
      <c r="M43" s="27"/>
      <c r="N43" s="26"/>
      <c r="O43" s="22"/>
    </row>
    <row r="44" spans="1:15" x14ac:dyDescent="0.25">
      <c r="A44" s="22"/>
      <c r="B44" s="30"/>
      <c r="C44" s="36" t="s">
        <v>224</v>
      </c>
      <c r="D44" s="100"/>
      <c r="E44" s="100"/>
      <c r="F44" s="100"/>
      <c r="G44" s="113">
        <v>4</v>
      </c>
      <c r="H44" s="94" t="s">
        <v>262</v>
      </c>
      <c r="I44" s="27"/>
      <c r="J44" s="27"/>
      <c r="K44" s="27"/>
      <c r="L44" s="27"/>
      <c r="M44" s="27"/>
      <c r="N44" s="26"/>
      <c r="O44" s="22"/>
    </row>
    <row r="45" spans="1:15" ht="13" thickBot="1" x14ac:dyDescent="0.3">
      <c r="A45" s="22"/>
      <c r="B45" s="30"/>
      <c r="C45" s="35" t="s">
        <v>226</v>
      </c>
      <c r="D45" s="34"/>
      <c r="E45" s="34"/>
      <c r="F45" s="34"/>
      <c r="G45" s="114">
        <v>0</v>
      </c>
      <c r="H45" s="94" t="s">
        <v>263</v>
      </c>
      <c r="I45" s="27"/>
      <c r="J45" s="27"/>
      <c r="K45" s="27"/>
      <c r="L45" s="27"/>
      <c r="M45" s="27"/>
      <c r="N45" s="26"/>
      <c r="O45" s="22"/>
    </row>
    <row r="46" spans="1:15" x14ac:dyDescent="0.25">
      <c r="A46" s="22"/>
      <c r="B46" s="30"/>
      <c r="C46" s="36" t="s">
        <v>228</v>
      </c>
      <c r="D46" s="100"/>
      <c r="E46" s="100"/>
      <c r="F46" s="100"/>
      <c r="G46" s="115">
        <v>4</v>
      </c>
      <c r="H46" s="94" t="s">
        <v>264</v>
      </c>
      <c r="I46" s="27"/>
      <c r="J46" s="27"/>
      <c r="K46" s="27"/>
      <c r="L46" s="27"/>
      <c r="M46" s="27"/>
      <c r="N46" s="26"/>
      <c r="O46" s="22"/>
    </row>
    <row r="47" spans="1:15" x14ac:dyDescent="0.25">
      <c r="A47" s="22"/>
      <c r="B47" s="30"/>
      <c r="C47" s="36" t="s">
        <v>230</v>
      </c>
      <c r="D47" s="100"/>
      <c r="E47" s="100"/>
      <c r="F47" s="100"/>
      <c r="G47" s="113">
        <v>2</v>
      </c>
      <c r="H47" s="94" t="s">
        <v>265</v>
      </c>
      <c r="I47" s="27"/>
      <c r="J47" s="27"/>
      <c r="K47" s="27"/>
      <c r="L47" s="27"/>
      <c r="M47" s="27"/>
      <c r="N47" s="26"/>
      <c r="O47" s="22"/>
    </row>
    <row r="48" spans="1:15" x14ac:dyDescent="0.25">
      <c r="A48" s="22"/>
      <c r="B48" s="30"/>
      <c r="C48" s="36" t="s">
        <v>232</v>
      </c>
      <c r="D48" s="100"/>
      <c r="E48" s="100"/>
      <c r="F48" s="100"/>
      <c r="G48" s="113">
        <v>4</v>
      </c>
      <c r="H48" s="94" t="s">
        <v>266</v>
      </c>
      <c r="I48" s="27"/>
      <c r="J48" s="27"/>
      <c r="K48" s="27"/>
      <c r="L48" s="27"/>
      <c r="M48" s="27"/>
      <c r="N48" s="26"/>
      <c r="O48" s="22"/>
    </row>
    <row r="49" spans="1:15" x14ac:dyDescent="0.25">
      <c r="A49" s="22"/>
      <c r="B49" s="30"/>
      <c r="C49" s="36" t="s">
        <v>234</v>
      </c>
      <c r="D49" s="100"/>
      <c r="E49" s="100"/>
      <c r="F49" s="100"/>
      <c r="G49" s="113">
        <v>2</v>
      </c>
      <c r="H49" s="94" t="s">
        <v>267</v>
      </c>
      <c r="I49" s="27"/>
      <c r="J49" s="27"/>
      <c r="K49" s="27"/>
      <c r="L49" s="27"/>
      <c r="M49" s="27"/>
      <c r="N49" s="26"/>
      <c r="O49" s="22"/>
    </row>
    <row r="50" spans="1:15" x14ac:dyDescent="0.25">
      <c r="A50" s="22"/>
      <c r="B50" s="30"/>
      <c r="C50" s="36" t="s">
        <v>236</v>
      </c>
      <c r="D50" s="100"/>
      <c r="E50" s="100"/>
      <c r="F50" s="100"/>
      <c r="G50" s="113">
        <v>0</v>
      </c>
      <c r="H50" s="94" t="s">
        <v>268</v>
      </c>
      <c r="I50" s="27"/>
      <c r="J50" s="27"/>
      <c r="K50" s="27"/>
      <c r="L50" s="27"/>
      <c r="M50" s="27"/>
      <c r="N50" s="26"/>
      <c r="O50" s="22"/>
    </row>
    <row r="51" spans="1:15" x14ac:dyDescent="0.25">
      <c r="A51" s="22"/>
      <c r="B51" s="30"/>
      <c r="C51" s="36" t="s">
        <v>238</v>
      </c>
      <c r="D51" s="100"/>
      <c r="E51" s="100"/>
      <c r="F51" s="100"/>
      <c r="G51" s="113">
        <v>0</v>
      </c>
      <c r="H51" s="94" t="s">
        <v>269</v>
      </c>
      <c r="I51" s="27"/>
      <c r="J51" s="27"/>
      <c r="K51" s="27"/>
      <c r="L51" s="27"/>
      <c r="M51" s="27"/>
      <c r="N51" s="26"/>
      <c r="O51" s="22"/>
    </row>
    <row r="52" spans="1:15" x14ac:dyDescent="0.25">
      <c r="A52" s="22"/>
      <c r="B52" s="30"/>
      <c r="C52" s="36" t="s">
        <v>240</v>
      </c>
      <c r="D52" s="100"/>
      <c r="E52" s="100"/>
      <c r="F52" s="100"/>
      <c r="G52" s="113">
        <v>0</v>
      </c>
      <c r="H52" s="94" t="s">
        <v>270</v>
      </c>
      <c r="I52" s="27"/>
      <c r="J52" s="27"/>
      <c r="K52" s="27"/>
      <c r="L52" s="27"/>
      <c r="M52" s="27"/>
      <c r="N52" s="26"/>
      <c r="O52" s="22"/>
    </row>
    <row r="53" spans="1:15" x14ac:dyDescent="0.25">
      <c r="A53" s="22"/>
      <c r="B53" s="30"/>
      <c r="C53" s="36" t="s">
        <v>242</v>
      </c>
      <c r="D53" s="100"/>
      <c r="E53" s="100"/>
      <c r="F53" s="100"/>
      <c r="G53" s="113">
        <v>0</v>
      </c>
      <c r="H53" s="94" t="s">
        <v>271</v>
      </c>
      <c r="I53" s="27"/>
      <c r="J53" s="27"/>
      <c r="K53" s="27"/>
      <c r="L53" s="27"/>
      <c r="M53" s="27"/>
      <c r="N53" s="26"/>
      <c r="O53" s="22"/>
    </row>
    <row r="54" spans="1:15" x14ac:dyDescent="0.25">
      <c r="A54" s="22"/>
      <c r="B54" s="30"/>
      <c r="C54" s="36" t="s">
        <v>244</v>
      </c>
      <c r="D54" s="100"/>
      <c r="E54" s="100"/>
      <c r="F54" s="100" t="s">
        <v>245</v>
      </c>
      <c r="G54" s="113">
        <v>1.3</v>
      </c>
      <c r="H54" s="94" t="s">
        <v>272</v>
      </c>
      <c r="I54" s="27"/>
      <c r="J54" s="27"/>
      <c r="K54" s="27"/>
      <c r="L54" s="27"/>
      <c r="M54" s="27"/>
      <c r="N54" s="26"/>
      <c r="O54" s="22"/>
    </row>
    <row r="55" spans="1:15" ht="13" thickBot="1" x14ac:dyDescent="0.3">
      <c r="A55" s="22"/>
      <c r="B55" s="30"/>
      <c r="C55" s="35" t="s">
        <v>247</v>
      </c>
      <c r="D55" s="34"/>
      <c r="E55" s="34"/>
      <c r="F55" s="34" t="s">
        <v>248</v>
      </c>
      <c r="G55" s="114">
        <v>2</v>
      </c>
      <c r="H55" s="94" t="s">
        <v>273</v>
      </c>
      <c r="I55" s="27"/>
      <c r="J55" s="27"/>
      <c r="K55" s="27"/>
      <c r="L55" s="27"/>
      <c r="M55" s="27"/>
      <c r="N55" s="26"/>
      <c r="O55" s="22"/>
    </row>
    <row r="56" spans="1:15" x14ac:dyDescent="0.25">
      <c r="A56" s="22"/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6"/>
      <c r="O56" s="22"/>
    </row>
    <row r="57" spans="1:15" x14ac:dyDescent="0.25">
      <c r="A57" s="22"/>
      <c r="B57" s="30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6"/>
      <c r="O57" s="22"/>
    </row>
    <row r="58" spans="1:15" ht="13" x14ac:dyDescent="0.3">
      <c r="A58" s="22"/>
      <c r="B58" s="30"/>
      <c r="C58" s="33" t="s">
        <v>250</v>
      </c>
      <c r="D58" s="27"/>
      <c r="E58" s="27"/>
      <c r="F58" s="27"/>
      <c r="G58" s="32">
        <v>0</v>
      </c>
      <c r="H58" s="32"/>
      <c r="I58" s="27"/>
      <c r="J58" s="27"/>
      <c r="K58" s="27"/>
      <c r="L58" s="27"/>
      <c r="M58" s="27"/>
      <c r="N58" s="26"/>
      <c r="O58" s="22"/>
    </row>
    <row r="59" spans="1:15" ht="13" x14ac:dyDescent="0.3">
      <c r="A59" s="22"/>
      <c r="B59" s="30"/>
      <c r="C59" s="29" t="s">
        <v>251</v>
      </c>
      <c r="D59" s="29"/>
      <c r="E59" s="29"/>
      <c r="F59" s="29"/>
      <c r="G59" s="31">
        <f>SUM(G61:G63)/x</f>
        <v>89.578947368421055</v>
      </c>
      <c r="H59" s="31"/>
      <c r="I59" s="27"/>
      <c r="J59" s="27"/>
      <c r="K59" s="27"/>
      <c r="L59" s="27"/>
      <c r="M59" s="27"/>
      <c r="N59" s="26"/>
      <c r="O59" s="22"/>
    </row>
    <row r="60" spans="1:15" ht="13" x14ac:dyDescent="0.3">
      <c r="A60" s="22"/>
      <c r="B60" s="30"/>
      <c r="C60" s="29" t="s">
        <v>170</v>
      </c>
      <c r="D60" s="29"/>
      <c r="E60" s="29"/>
      <c r="F60" s="29"/>
      <c r="G60" s="31">
        <f>SUM(G61:G63)</f>
        <v>3404</v>
      </c>
      <c r="H60" s="31"/>
      <c r="I60" s="27"/>
      <c r="J60" s="27"/>
      <c r="K60" s="27"/>
      <c r="L60" s="27"/>
      <c r="M60" s="27"/>
      <c r="N60" s="26"/>
      <c r="O60" s="22"/>
    </row>
    <row r="61" spans="1:15" x14ac:dyDescent="0.25">
      <c r="A61" s="22"/>
      <c r="B61" s="30"/>
      <c r="C61" s="29" t="s">
        <v>252</v>
      </c>
      <c r="D61" s="29"/>
      <c r="E61" s="29"/>
      <c r="F61" s="29"/>
      <c r="G61" s="28">
        <f>'275kV GIS TPM+Eng'!TPM</f>
        <v>1294.4000000000001</v>
      </c>
      <c r="H61" s="28"/>
      <c r="I61" s="27"/>
      <c r="J61" s="27"/>
      <c r="K61" s="27"/>
      <c r="L61" s="27"/>
      <c r="M61" s="27"/>
      <c r="N61" s="26"/>
      <c r="O61" s="22"/>
    </row>
    <row r="62" spans="1:15" x14ac:dyDescent="0.25">
      <c r="A62" s="22"/>
      <c r="B62" s="30"/>
      <c r="C62" s="29" t="s">
        <v>253</v>
      </c>
      <c r="D62" s="29"/>
      <c r="E62" s="29"/>
      <c r="F62" s="29"/>
      <c r="G62" s="28">
        <f>'275kV GIS TPM+Eng'!Engineer</f>
        <v>1413.6</v>
      </c>
      <c r="H62" s="28"/>
      <c r="I62" s="27"/>
      <c r="J62" s="27"/>
      <c r="K62" s="27"/>
      <c r="L62" s="27"/>
      <c r="M62" s="27"/>
      <c r="N62" s="26"/>
      <c r="O62" s="22"/>
    </row>
    <row r="63" spans="1:15" x14ac:dyDescent="0.25">
      <c r="A63" s="22"/>
      <c r="B63" s="30"/>
      <c r="C63" s="29" t="s">
        <v>254</v>
      </c>
      <c r="D63" s="29"/>
      <c r="E63" s="29"/>
      <c r="F63" s="29"/>
      <c r="G63" s="28">
        <f>'275kV GIS TPM+Eng'!Doc_Controller</f>
        <v>696</v>
      </c>
      <c r="H63" s="28"/>
      <c r="I63" s="27"/>
      <c r="J63" s="27"/>
      <c r="K63" s="27"/>
      <c r="L63" s="27"/>
      <c r="M63" s="27"/>
      <c r="N63" s="26"/>
      <c r="O63" s="22"/>
    </row>
    <row r="64" spans="1:15" ht="13" thickBot="1" x14ac:dyDescent="0.3">
      <c r="A64" s="22"/>
      <c r="B64" s="2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3"/>
      <c r="O64" s="22"/>
    </row>
    <row r="65" spans="1: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1: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</row>
  </sheetData>
  <pageMargins left="0.7" right="0.7" top="0.75" bottom="0.75" header="0.3" footer="0.3"/>
  <pageSetup paperSize="9" scale="40" orientation="portrait" verticalDpi="1200" r:id="rId1"/>
  <headerFooter>
    <oddFooter>&amp;LUnrestricted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3"/>
  <sheetViews>
    <sheetView zoomScale="60" zoomScaleNormal="60" workbookViewId="0">
      <pane ySplit="1" topLeftCell="A2" activePane="bottomLeft" state="frozen"/>
      <selection activeCell="G12" sqref="G12"/>
      <selection pane="bottomLeft" activeCell="C119" sqref="C119:C131"/>
    </sheetView>
  </sheetViews>
  <sheetFormatPr defaultColWidth="8.81640625" defaultRowHeight="12.5" x14ac:dyDescent="0.25"/>
  <cols>
    <col min="1" max="1" width="23" style="43" customWidth="1"/>
    <col min="2" max="2" width="57.453125" style="43" bestFit="1" customWidth="1"/>
    <col min="3" max="3" width="12.1796875" style="46" customWidth="1"/>
    <col min="4" max="5" width="15.1796875" style="46" bestFit="1" customWidth="1"/>
    <col min="6" max="7" width="15.1796875" style="46" customWidth="1"/>
    <col min="8" max="8" width="40.453125" style="45" customWidth="1"/>
    <col min="9" max="12" width="12.54296875" style="44" customWidth="1"/>
    <col min="13" max="13" width="24.54296875" style="43" customWidth="1"/>
    <col min="14" max="14" width="11.1796875" style="21" bestFit="1" customWidth="1"/>
    <col min="15" max="16384" width="8.81640625" style="21"/>
  </cols>
  <sheetData>
    <row r="1" spans="1:14" s="43" customFormat="1" ht="13" x14ac:dyDescent="0.25">
      <c r="A1" s="93" t="s">
        <v>106</v>
      </c>
      <c r="B1" s="93"/>
      <c r="C1" s="93" t="s">
        <v>274</v>
      </c>
      <c r="D1" s="93" t="s">
        <v>275</v>
      </c>
      <c r="E1" s="93" t="s">
        <v>276</v>
      </c>
      <c r="F1" s="93" t="s">
        <v>277</v>
      </c>
      <c r="G1" s="93" t="s">
        <v>278</v>
      </c>
      <c r="H1" s="93" t="s">
        <v>3</v>
      </c>
      <c r="I1" s="92"/>
      <c r="J1" s="92"/>
      <c r="K1" s="92"/>
      <c r="L1" s="92"/>
      <c r="M1" s="92"/>
      <c r="N1" s="92"/>
    </row>
    <row r="2" spans="1:14" ht="12.75" customHeight="1" x14ac:dyDescent="0.25">
      <c r="A2" s="157" t="s">
        <v>279</v>
      </c>
      <c r="B2" s="91" t="s">
        <v>280</v>
      </c>
      <c r="C2" s="48">
        <v>1</v>
      </c>
      <c r="D2" s="48">
        <f t="shared" ref="D2:D23" si="0">C2*y</f>
        <v>4</v>
      </c>
      <c r="E2" s="48">
        <f t="shared" ref="E2:E14" si="1">D2</f>
        <v>4</v>
      </c>
      <c r="F2" s="48"/>
      <c r="G2" s="48"/>
      <c r="H2" s="63" t="s">
        <v>281</v>
      </c>
      <c r="I2" s="56"/>
      <c r="J2" s="56"/>
      <c r="K2" s="56"/>
      <c r="L2" s="56"/>
    </row>
    <row r="3" spans="1:14" x14ac:dyDescent="0.25">
      <c r="A3" s="157"/>
      <c r="B3" s="91" t="s">
        <v>282</v>
      </c>
      <c r="C3" s="48">
        <v>1</v>
      </c>
      <c r="D3" s="48">
        <f t="shared" si="0"/>
        <v>4</v>
      </c>
      <c r="E3" s="48">
        <f t="shared" si="1"/>
        <v>4</v>
      </c>
      <c r="F3" s="48"/>
      <c r="G3" s="48"/>
      <c r="H3" s="63"/>
      <c r="I3" s="56"/>
      <c r="J3" s="56"/>
      <c r="K3" s="56"/>
      <c r="L3" s="56"/>
    </row>
    <row r="4" spans="1:14" x14ac:dyDescent="0.25">
      <c r="A4" s="89"/>
      <c r="B4" s="91" t="s">
        <v>283</v>
      </c>
      <c r="C4" s="48">
        <v>1</v>
      </c>
      <c r="D4" s="48">
        <f t="shared" si="0"/>
        <v>4</v>
      </c>
      <c r="E4" s="48">
        <f t="shared" si="1"/>
        <v>4</v>
      </c>
      <c r="F4" s="48"/>
      <c r="G4" s="48"/>
      <c r="H4" s="63"/>
      <c r="I4" s="56"/>
      <c r="J4" s="56"/>
      <c r="K4" s="56"/>
      <c r="L4" s="56"/>
    </row>
    <row r="5" spans="1:14" x14ac:dyDescent="0.25">
      <c r="A5" s="89"/>
      <c r="B5" s="76" t="s">
        <v>284</v>
      </c>
      <c r="C5" s="60">
        <v>1</v>
      </c>
      <c r="D5" s="48">
        <f t="shared" si="0"/>
        <v>4</v>
      </c>
      <c r="E5" s="48">
        <f t="shared" si="1"/>
        <v>4</v>
      </c>
      <c r="F5" s="48"/>
      <c r="G5" s="48"/>
      <c r="H5" s="63"/>
      <c r="I5" s="56"/>
      <c r="J5" s="56"/>
      <c r="K5" s="56"/>
      <c r="L5" s="56"/>
      <c r="M5" s="55"/>
    </row>
    <row r="6" spans="1:14" x14ac:dyDescent="0.25">
      <c r="A6" s="89"/>
      <c r="B6" s="76" t="s">
        <v>285</v>
      </c>
      <c r="C6" s="60">
        <v>1</v>
      </c>
      <c r="D6" s="48">
        <f t="shared" si="0"/>
        <v>4</v>
      </c>
      <c r="E6" s="48">
        <f t="shared" si="1"/>
        <v>4</v>
      </c>
      <c r="F6" s="48"/>
      <c r="G6" s="48"/>
      <c r="H6" s="63"/>
      <c r="I6" s="56"/>
      <c r="J6" s="56"/>
      <c r="K6" s="56"/>
      <c r="L6" s="56"/>
      <c r="M6" s="55"/>
    </row>
    <row r="7" spans="1:14" x14ac:dyDescent="0.25">
      <c r="A7" s="89"/>
      <c r="B7" s="76" t="s">
        <v>286</v>
      </c>
      <c r="C7" s="60">
        <v>0</v>
      </c>
      <c r="D7" s="48">
        <f t="shared" si="0"/>
        <v>0</v>
      </c>
      <c r="E7" s="48">
        <f t="shared" si="1"/>
        <v>0</v>
      </c>
      <c r="F7" s="48"/>
      <c r="G7" s="48"/>
      <c r="H7" s="63" t="s">
        <v>287</v>
      </c>
      <c r="I7" s="56"/>
      <c r="J7" s="56"/>
      <c r="K7" s="56"/>
      <c r="L7" s="56"/>
      <c r="M7" s="55"/>
    </row>
    <row r="8" spans="1:14" x14ac:dyDescent="0.25">
      <c r="A8" s="89"/>
      <c r="B8" s="76" t="s">
        <v>288</v>
      </c>
      <c r="C8" s="60">
        <v>2</v>
      </c>
      <c r="D8" s="48">
        <f t="shared" si="0"/>
        <v>8</v>
      </c>
      <c r="E8" s="48">
        <f t="shared" si="1"/>
        <v>8</v>
      </c>
      <c r="F8" s="48"/>
      <c r="G8" s="48"/>
      <c r="H8" s="63" t="s">
        <v>289</v>
      </c>
      <c r="I8" s="56"/>
      <c r="J8" s="56"/>
      <c r="K8" s="56"/>
      <c r="L8" s="56"/>
      <c r="M8" s="55"/>
    </row>
    <row r="9" spans="1:14" x14ac:dyDescent="0.25">
      <c r="A9" s="89"/>
      <c r="B9" s="76" t="s">
        <v>290</v>
      </c>
      <c r="C9" s="60">
        <v>2</v>
      </c>
      <c r="D9" s="48">
        <f t="shared" si="0"/>
        <v>8</v>
      </c>
      <c r="E9" s="48">
        <f t="shared" si="1"/>
        <v>8</v>
      </c>
      <c r="F9" s="48"/>
      <c r="G9" s="48"/>
      <c r="H9" s="63" t="s">
        <v>291</v>
      </c>
      <c r="I9" s="56"/>
      <c r="J9" s="56"/>
      <c r="K9" s="56"/>
      <c r="L9" s="56"/>
      <c r="M9" s="55"/>
    </row>
    <row r="10" spans="1:14" x14ac:dyDescent="0.25">
      <c r="A10" s="89"/>
      <c r="B10" s="76" t="s">
        <v>292</v>
      </c>
      <c r="C10" s="109">
        <v>2</v>
      </c>
      <c r="D10" s="48">
        <f>C10*y*j</f>
        <v>10.4</v>
      </c>
      <c r="E10" s="48">
        <f t="shared" si="1"/>
        <v>10.4</v>
      </c>
      <c r="F10" s="48"/>
      <c r="G10" s="48"/>
      <c r="H10" s="63"/>
      <c r="I10" s="56"/>
      <c r="J10" s="56"/>
      <c r="K10" s="56"/>
      <c r="L10" s="56"/>
      <c r="M10" s="55"/>
    </row>
    <row r="11" spans="1:14" x14ac:dyDescent="0.25">
      <c r="A11" s="89"/>
      <c r="B11" s="76" t="s">
        <v>293</v>
      </c>
      <c r="C11" s="60">
        <v>2</v>
      </c>
      <c r="D11" s="48">
        <f t="shared" si="0"/>
        <v>8</v>
      </c>
      <c r="E11" s="48">
        <f t="shared" si="1"/>
        <v>8</v>
      </c>
      <c r="F11" s="48"/>
      <c r="G11" s="48"/>
      <c r="H11" s="63"/>
      <c r="I11" s="56"/>
      <c r="J11" s="56"/>
      <c r="K11" s="56"/>
      <c r="L11" s="56"/>
      <c r="M11" s="55"/>
    </row>
    <row r="12" spans="1:14" x14ac:dyDescent="0.25">
      <c r="A12" s="89"/>
      <c r="B12" s="76" t="s">
        <v>294</v>
      </c>
      <c r="C12" s="60">
        <v>0</v>
      </c>
      <c r="D12" s="48">
        <f t="shared" si="0"/>
        <v>0</v>
      </c>
      <c r="E12" s="48">
        <f t="shared" si="1"/>
        <v>0</v>
      </c>
      <c r="F12" s="48"/>
      <c r="G12" s="48"/>
      <c r="H12" s="63" t="s">
        <v>295</v>
      </c>
      <c r="I12" s="56"/>
      <c r="J12" s="56"/>
      <c r="K12" s="56"/>
      <c r="L12" s="56"/>
      <c r="M12" s="55"/>
    </row>
    <row r="13" spans="1:14" x14ac:dyDescent="0.25">
      <c r="A13" s="89"/>
      <c r="B13" s="76" t="s">
        <v>296</v>
      </c>
      <c r="C13" s="60">
        <v>0</v>
      </c>
      <c r="D13" s="48">
        <f t="shared" si="0"/>
        <v>0</v>
      </c>
      <c r="E13" s="48">
        <f t="shared" si="1"/>
        <v>0</v>
      </c>
      <c r="F13" s="48"/>
      <c r="G13" s="48"/>
      <c r="H13" s="63" t="s">
        <v>295</v>
      </c>
      <c r="I13" s="56"/>
      <c r="J13" s="56"/>
      <c r="K13" s="56"/>
      <c r="L13" s="56"/>
      <c r="M13" s="55"/>
    </row>
    <row r="14" spans="1:14" ht="13" x14ac:dyDescent="0.3">
      <c r="A14" s="90"/>
      <c r="B14" s="76" t="s">
        <v>297</v>
      </c>
      <c r="C14" s="60">
        <v>3</v>
      </c>
      <c r="D14" s="48">
        <f t="shared" si="0"/>
        <v>12</v>
      </c>
      <c r="E14" s="48">
        <f t="shared" si="1"/>
        <v>12</v>
      </c>
      <c r="F14" s="48"/>
      <c r="G14" s="48"/>
      <c r="H14" s="63" t="s">
        <v>298</v>
      </c>
      <c r="I14" s="56"/>
      <c r="J14" s="56"/>
      <c r="K14" s="56"/>
      <c r="L14" s="56"/>
      <c r="M14" s="55"/>
    </row>
    <row r="15" spans="1:14" x14ac:dyDescent="0.25">
      <c r="A15" s="89"/>
      <c r="B15" s="88" t="s">
        <v>299</v>
      </c>
      <c r="C15" s="60">
        <v>8</v>
      </c>
      <c r="D15" s="48">
        <f t="shared" si="0"/>
        <v>32</v>
      </c>
      <c r="E15" s="48"/>
      <c r="F15" s="48"/>
      <c r="G15" s="48">
        <f>D15</f>
        <v>32</v>
      </c>
      <c r="H15" s="63"/>
      <c r="I15" s="56"/>
      <c r="J15" s="56"/>
      <c r="K15" s="56"/>
      <c r="L15" s="56"/>
      <c r="M15" s="55"/>
    </row>
    <row r="16" spans="1:14" x14ac:dyDescent="0.25">
      <c r="A16" s="68" t="s">
        <v>300</v>
      </c>
      <c r="B16" s="74" t="s">
        <v>301</v>
      </c>
      <c r="C16" s="60">
        <v>2</v>
      </c>
      <c r="D16" s="48">
        <f t="shared" si="0"/>
        <v>8</v>
      </c>
      <c r="E16" s="48">
        <f t="shared" ref="E16:E26" si="2">D16</f>
        <v>8</v>
      </c>
      <c r="F16" s="48"/>
      <c r="G16" s="48"/>
      <c r="H16" s="63" t="s">
        <v>289</v>
      </c>
      <c r="I16" s="56"/>
      <c r="J16" s="56"/>
      <c r="K16" s="56"/>
      <c r="L16" s="56"/>
      <c r="M16" s="55"/>
    </row>
    <row r="17" spans="1:13" x14ac:dyDescent="0.25">
      <c r="A17" s="68"/>
      <c r="B17" s="74" t="s">
        <v>302</v>
      </c>
      <c r="C17" s="60">
        <v>2</v>
      </c>
      <c r="D17" s="48">
        <f t="shared" si="0"/>
        <v>8</v>
      </c>
      <c r="E17" s="48">
        <f t="shared" si="2"/>
        <v>8</v>
      </c>
      <c r="F17" s="48"/>
      <c r="G17" s="48"/>
      <c r="H17" s="63" t="s">
        <v>289</v>
      </c>
      <c r="I17" s="56"/>
      <c r="J17" s="56"/>
      <c r="K17" s="56"/>
      <c r="L17" s="56"/>
      <c r="M17" s="55"/>
    </row>
    <row r="18" spans="1:13" ht="13" x14ac:dyDescent="0.3">
      <c r="A18" s="87"/>
      <c r="B18" s="74" t="s">
        <v>303</v>
      </c>
      <c r="C18" s="60">
        <v>0</v>
      </c>
      <c r="D18" s="48">
        <f t="shared" si="0"/>
        <v>0</v>
      </c>
      <c r="E18" s="48">
        <f t="shared" si="2"/>
        <v>0</v>
      </c>
      <c r="F18" s="48"/>
      <c r="G18" s="48"/>
      <c r="H18" s="63" t="s">
        <v>304</v>
      </c>
      <c r="I18" s="56"/>
      <c r="J18" s="56"/>
      <c r="K18" s="56"/>
      <c r="L18" s="56"/>
      <c r="M18" s="55"/>
    </row>
    <row r="19" spans="1:13" x14ac:dyDescent="0.25">
      <c r="A19" s="68"/>
      <c r="B19" s="74" t="s">
        <v>305</v>
      </c>
      <c r="C19" s="60">
        <v>0</v>
      </c>
      <c r="D19" s="48">
        <f t="shared" si="0"/>
        <v>0</v>
      </c>
      <c r="E19" s="48">
        <f t="shared" si="2"/>
        <v>0</v>
      </c>
      <c r="F19" s="48"/>
      <c r="G19" s="48"/>
      <c r="H19" s="63" t="s">
        <v>306</v>
      </c>
      <c r="I19" s="56"/>
      <c r="J19" s="56"/>
      <c r="K19" s="56"/>
      <c r="L19" s="56"/>
      <c r="M19" s="55"/>
    </row>
    <row r="20" spans="1:13" x14ac:dyDescent="0.25">
      <c r="A20" s="68"/>
      <c r="B20" s="74" t="s">
        <v>307</v>
      </c>
      <c r="C20" s="60">
        <v>4</v>
      </c>
      <c r="D20" s="48">
        <f t="shared" si="0"/>
        <v>16</v>
      </c>
      <c r="E20" s="48">
        <f t="shared" si="2"/>
        <v>16</v>
      </c>
      <c r="F20" s="48"/>
      <c r="G20" s="48"/>
      <c r="H20" s="63"/>
      <c r="I20" s="56"/>
      <c r="J20" s="56"/>
      <c r="K20" s="56"/>
      <c r="L20" s="56"/>
      <c r="M20" s="55"/>
    </row>
    <row r="21" spans="1:13" x14ac:dyDescent="0.25">
      <c r="A21" s="68"/>
      <c r="B21" s="74" t="s">
        <v>308</v>
      </c>
      <c r="C21" s="60">
        <v>12</v>
      </c>
      <c r="D21" s="48">
        <f t="shared" si="0"/>
        <v>48</v>
      </c>
      <c r="E21" s="48">
        <f t="shared" si="2"/>
        <v>48</v>
      </c>
      <c r="F21" s="48"/>
      <c r="G21" s="48"/>
      <c r="H21" s="63"/>
      <c r="I21" s="56"/>
      <c r="J21" s="56"/>
      <c r="K21" s="56"/>
      <c r="L21" s="56"/>
      <c r="M21" s="55"/>
    </row>
    <row r="22" spans="1:13" x14ac:dyDescent="0.25">
      <c r="A22" s="68"/>
      <c r="B22" s="74" t="s">
        <v>309</v>
      </c>
      <c r="C22" s="60">
        <v>2</v>
      </c>
      <c r="D22" s="48">
        <f t="shared" si="0"/>
        <v>8</v>
      </c>
      <c r="E22" s="48">
        <f t="shared" si="2"/>
        <v>8</v>
      </c>
      <c r="F22" s="48"/>
      <c r="G22" s="48"/>
      <c r="H22" s="63"/>
      <c r="I22" s="56"/>
      <c r="J22" s="56"/>
      <c r="K22" s="56"/>
      <c r="L22" s="56"/>
      <c r="M22" s="55"/>
    </row>
    <row r="23" spans="1:13" x14ac:dyDescent="0.25">
      <c r="A23" s="68"/>
      <c r="B23" s="74" t="s">
        <v>310</v>
      </c>
      <c r="C23" s="60">
        <v>0</v>
      </c>
      <c r="D23" s="48">
        <f t="shared" si="0"/>
        <v>0</v>
      </c>
      <c r="E23" s="48">
        <f t="shared" si="2"/>
        <v>0</v>
      </c>
      <c r="F23" s="48"/>
      <c r="G23" s="48"/>
      <c r="H23" s="63" t="s">
        <v>311</v>
      </c>
      <c r="I23" s="56"/>
      <c r="J23" s="56"/>
      <c r="K23" s="56"/>
      <c r="L23" s="56"/>
      <c r="M23" s="55"/>
    </row>
    <row r="24" spans="1:13" x14ac:dyDescent="0.25">
      <c r="A24" s="68"/>
      <c r="B24" s="74" t="s">
        <v>312</v>
      </c>
      <c r="C24" s="109">
        <v>8</v>
      </c>
      <c r="D24" s="60">
        <f>C24*w*j</f>
        <v>62.400000000000006</v>
      </c>
      <c r="E24" s="48">
        <f t="shared" si="2"/>
        <v>62.400000000000006</v>
      </c>
      <c r="F24" s="60"/>
      <c r="G24" s="60"/>
      <c r="H24" s="59"/>
      <c r="I24" s="56"/>
      <c r="J24" s="56"/>
      <c r="K24" s="56"/>
      <c r="L24" s="56"/>
      <c r="M24" s="55"/>
    </row>
    <row r="25" spans="1:13" ht="13" x14ac:dyDescent="0.3">
      <c r="A25" s="87"/>
      <c r="B25" s="74" t="s">
        <v>313</v>
      </c>
      <c r="C25" s="60">
        <v>12</v>
      </c>
      <c r="D25" s="48">
        <f t="shared" ref="D25:D33" si="3">C25*y</f>
        <v>48</v>
      </c>
      <c r="E25" s="48">
        <f t="shared" si="2"/>
        <v>48</v>
      </c>
      <c r="F25" s="48"/>
      <c r="G25" s="48"/>
      <c r="H25" s="63"/>
      <c r="I25" s="56"/>
      <c r="J25" s="56"/>
      <c r="K25" s="56"/>
      <c r="L25" s="56"/>
      <c r="M25" s="55"/>
    </row>
    <row r="26" spans="1:13" x14ac:dyDescent="0.25">
      <c r="A26" s="68"/>
      <c r="B26" s="74" t="s">
        <v>314</v>
      </c>
      <c r="C26" s="60">
        <v>8</v>
      </c>
      <c r="D26" s="48">
        <f t="shared" si="3"/>
        <v>32</v>
      </c>
      <c r="E26" s="48">
        <f t="shared" si="2"/>
        <v>32</v>
      </c>
      <c r="F26" s="48"/>
      <c r="G26" s="48"/>
      <c r="H26" s="63"/>
      <c r="I26" s="56"/>
      <c r="J26" s="56"/>
      <c r="K26" s="56"/>
      <c r="L26" s="56"/>
      <c r="M26" s="55"/>
    </row>
    <row r="27" spans="1:13" x14ac:dyDescent="0.25">
      <c r="A27" s="68"/>
      <c r="B27" s="74" t="s">
        <v>315</v>
      </c>
      <c r="C27" s="60">
        <v>35</v>
      </c>
      <c r="D27" s="48">
        <f t="shared" si="3"/>
        <v>140</v>
      </c>
      <c r="E27" s="48"/>
      <c r="F27" s="48"/>
      <c r="G27" s="48">
        <f>D27</f>
        <v>140</v>
      </c>
      <c r="H27" s="63"/>
      <c r="I27" s="56"/>
      <c r="J27" s="56"/>
      <c r="K27" s="56"/>
      <c r="L27" s="56"/>
      <c r="M27" s="55"/>
    </row>
    <row r="28" spans="1:13" x14ac:dyDescent="0.25">
      <c r="A28" s="66" t="s">
        <v>316</v>
      </c>
      <c r="B28" s="77" t="s">
        <v>317</v>
      </c>
      <c r="C28" s="60">
        <v>16</v>
      </c>
      <c r="D28" s="48">
        <f t="shared" si="3"/>
        <v>64</v>
      </c>
      <c r="E28" s="48">
        <f>D28</f>
        <v>64</v>
      </c>
      <c r="F28" s="48"/>
      <c r="G28" s="48"/>
      <c r="H28" s="63" t="s">
        <v>318</v>
      </c>
      <c r="I28" s="56"/>
      <c r="J28" s="56"/>
      <c r="K28" s="56"/>
      <c r="L28" s="56"/>
      <c r="M28" s="55"/>
    </row>
    <row r="29" spans="1:13" x14ac:dyDescent="0.25">
      <c r="A29" s="86" t="s">
        <v>319</v>
      </c>
      <c r="B29" s="85" t="s">
        <v>320</v>
      </c>
      <c r="C29" s="60">
        <v>8</v>
      </c>
      <c r="D29" s="48">
        <f t="shared" si="3"/>
        <v>32</v>
      </c>
      <c r="E29" s="48">
        <f>D29</f>
        <v>32</v>
      </c>
      <c r="F29" s="48"/>
      <c r="G29" s="48"/>
      <c r="H29" s="63"/>
      <c r="I29" s="56"/>
      <c r="J29" s="56"/>
      <c r="K29" s="56"/>
      <c r="L29" s="56"/>
      <c r="M29" s="55"/>
    </row>
    <row r="30" spans="1:13" x14ac:dyDescent="0.25">
      <c r="A30" s="86"/>
      <c r="B30" s="85" t="s">
        <v>321</v>
      </c>
      <c r="C30" s="60">
        <v>0</v>
      </c>
      <c r="D30" s="48">
        <f t="shared" si="3"/>
        <v>0</v>
      </c>
      <c r="E30" s="48">
        <f>D30</f>
        <v>0</v>
      </c>
      <c r="F30" s="48"/>
      <c r="G30" s="48"/>
      <c r="H30" s="63" t="s">
        <v>311</v>
      </c>
      <c r="I30" s="56"/>
      <c r="J30" s="56"/>
      <c r="K30" s="56"/>
      <c r="L30" s="56"/>
      <c r="M30" s="55"/>
    </row>
    <row r="31" spans="1:13" x14ac:dyDescent="0.25">
      <c r="A31" s="86"/>
      <c r="B31" s="85" t="s">
        <v>322</v>
      </c>
      <c r="C31" s="60">
        <v>2</v>
      </c>
      <c r="D31" s="48">
        <f t="shared" si="3"/>
        <v>8</v>
      </c>
      <c r="E31" s="48">
        <f>D31</f>
        <v>8</v>
      </c>
      <c r="F31" s="48"/>
      <c r="G31" s="48"/>
      <c r="H31" s="63"/>
      <c r="I31" s="56"/>
      <c r="J31" s="56"/>
      <c r="K31" s="56"/>
      <c r="L31" s="56"/>
      <c r="M31" s="55"/>
    </row>
    <row r="32" spans="1:13" ht="12.75" customHeight="1" x14ac:dyDescent="0.25">
      <c r="A32" s="158" t="s">
        <v>323</v>
      </c>
      <c r="B32" s="74" t="s">
        <v>324</v>
      </c>
      <c r="C32" s="60">
        <v>8</v>
      </c>
      <c r="D32" s="48">
        <f t="shared" si="3"/>
        <v>32</v>
      </c>
      <c r="E32" s="48"/>
      <c r="F32" s="48">
        <f t="shared" ref="F32:F50" si="4">D32</f>
        <v>32</v>
      </c>
      <c r="G32" s="48"/>
      <c r="H32" s="63"/>
      <c r="I32" s="56"/>
      <c r="J32" s="56"/>
      <c r="K32" s="56"/>
      <c r="L32" s="56"/>
      <c r="M32" s="55"/>
    </row>
    <row r="33" spans="1:14" x14ac:dyDescent="0.25">
      <c r="A33" s="158"/>
      <c r="B33" s="74" t="s">
        <v>325</v>
      </c>
      <c r="C33" s="60">
        <v>4</v>
      </c>
      <c r="D33" s="48">
        <f t="shared" si="3"/>
        <v>16</v>
      </c>
      <c r="E33" s="48"/>
      <c r="F33" s="48">
        <f t="shared" si="4"/>
        <v>16</v>
      </c>
      <c r="G33" s="48"/>
      <c r="H33" s="63"/>
      <c r="I33" s="56"/>
      <c r="J33" s="56"/>
      <c r="K33" s="56"/>
      <c r="L33" s="56"/>
      <c r="M33" s="55"/>
    </row>
    <row r="34" spans="1:14" x14ac:dyDescent="0.25">
      <c r="A34" s="68" t="s">
        <v>300</v>
      </c>
      <c r="B34" s="74" t="s">
        <v>326</v>
      </c>
      <c r="C34" s="109">
        <v>2</v>
      </c>
      <c r="D34" s="48">
        <f>C34*y*j</f>
        <v>10.4</v>
      </c>
      <c r="E34" s="48"/>
      <c r="F34" s="48">
        <f t="shared" si="4"/>
        <v>10.4</v>
      </c>
      <c r="G34" s="48"/>
      <c r="H34" s="63"/>
      <c r="I34" s="56"/>
      <c r="J34" s="56"/>
      <c r="K34" s="56"/>
      <c r="L34" s="56"/>
      <c r="M34" s="55"/>
    </row>
    <row r="35" spans="1:14" x14ac:dyDescent="0.25">
      <c r="A35" s="68"/>
      <c r="B35" s="74" t="s">
        <v>327</v>
      </c>
      <c r="C35" s="109">
        <v>16</v>
      </c>
      <c r="D35" s="48">
        <f>C35*y*j</f>
        <v>83.2</v>
      </c>
      <c r="E35" s="48"/>
      <c r="F35" s="48">
        <f t="shared" si="4"/>
        <v>83.2</v>
      </c>
      <c r="G35" s="48"/>
      <c r="H35" s="63"/>
      <c r="I35" s="56"/>
      <c r="J35" s="56"/>
      <c r="K35" s="56"/>
      <c r="L35" s="56"/>
      <c r="M35" s="55"/>
    </row>
    <row r="36" spans="1:14" x14ac:dyDescent="0.25">
      <c r="A36" s="68"/>
      <c r="B36" s="74" t="s">
        <v>328</v>
      </c>
      <c r="C36" s="109">
        <v>8</v>
      </c>
      <c r="D36" s="48">
        <f>C36*y*j</f>
        <v>41.6</v>
      </c>
      <c r="E36" s="48"/>
      <c r="F36" s="48">
        <f t="shared" si="4"/>
        <v>41.6</v>
      </c>
      <c r="G36" s="48"/>
      <c r="H36" s="63"/>
      <c r="I36" s="56"/>
      <c r="J36" s="56"/>
      <c r="K36" s="56"/>
      <c r="L36" s="56"/>
      <c r="M36" s="55"/>
    </row>
    <row r="37" spans="1:14" x14ac:dyDescent="0.25">
      <c r="A37" s="68"/>
      <c r="B37" s="74" t="s">
        <v>329</v>
      </c>
      <c r="C37" s="109">
        <v>16</v>
      </c>
      <c r="D37" s="48">
        <f>C37*y*j</f>
        <v>83.2</v>
      </c>
      <c r="E37" s="48"/>
      <c r="F37" s="48">
        <f t="shared" si="4"/>
        <v>83.2</v>
      </c>
      <c r="G37" s="48"/>
      <c r="H37" s="63"/>
      <c r="I37" s="56"/>
      <c r="J37" s="56"/>
      <c r="K37" s="56"/>
      <c r="L37" s="56"/>
      <c r="M37" s="55"/>
    </row>
    <row r="38" spans="1:14" x14ac:dyDescent="0.25">
      <c r="A38" s="83"/>
      <c r="B38" s="82" t="s">
        <v>330</v>
      </c>
      <c r="C38" s="109">
        <v>35</v>
      </c>
      <c r="D38" s="60">
        <f>(C38*b+C38*e+C38*g)*j</f>
        <v>546</v>
      </c>
      <c r="E38" s="60"/>
      <c r="F38" s="48">
        <f t="shared" si="4"/>
        <v>546</v>
      </c>
      <c r="G38" s="60"/>
      <c r="H38" s="84"/>
      <c r="I38" s="56"/>
      <c r="J38" s="56"/>
      <c r="K38" s="56"/>
      <c r="L38" s="56"/>
      <c r="M38" s="81"/>
      <c r="N38" s="80"/>
    </row>
    <row r="39" spans="1:14" ht="25" x14ac:dyDescent="0.25">
      <c r="A39" s="83"/>
      <c r="B39" s="82" t="s">
        <v>331</v>
      </c>
      <c r="C39" s="109">
        <v>17</v>
      </c>
      <c r="D39" s="48">
        <f>C39*y*j</f>
        <v>88.4</v>
      </c>
      <c r="E39" s="48"/>
      <c r="F39" s="48">
        <f t="shared" si="4"/>
        <v>88.4</v>
      </c>
      <c r="G39" s="48"/>
      <c r="H39" s="63"/>
      <c r="I39" s="56"/>
      <c r="J39" s="56"/>
      <c r="K39" s="56"/>
      <c r="L39" s="56"/>
      <c r="M39" s="81"/>
      <c r="N39" s="80"/>
    </row>
    <row r="40" spans="1:14" x14ac:dyDescent="0.25">
      <c r="A40" s="83"/>
      <c r="B40" s="82" t="s">
        <v>332</v>
      </c>
      <c r="C40" s="60">
        <v>6</v>
      </c>
      <c r="D40" s="60">
        <f>C40*d+C40*f</f>
        <v>288</v>
      </c>
      <c r="E40" s="48"/>
      <c r="F40" s="48">
        <f t="shared" si="4"/>
        <v>288</v>
      </c>
      <c r="G40" s="48"/>
      <c r="H40" s="63"/>
      <c r="I40" s="56"/>
      <c r="J40" s="56"/>
      <c r="K40" s="56"/>
      <c r="L40" s="56"/>
      <c r="M40" s="81"/>
      <c r="N40" s="80"/>
    </row>
    <row r="41" spans="1:14" x14ac:dyDescent="0.25">
      <c r="A41" s="83"/>
      <c r="B41" s="82" t="s">
        <v>333</v>
      </c>
      <c r="C41" s="60">
        <v>6</v>
      </c>
      <c r="D41" s="60">
        <f>C41*a+C41*f</f>
        <v>288</v>
      </c>
      <c r="E41" s="48"/>
      <c r="F41" s="48">
        <f t="shared" si="4"/>
        <v>288</v>
      </c>
      <c r="G41" s="48"/>
      <c r="H41" s="63"/>
      <c r="I41" s="56"/>
      <c r="J41" s="56"/>
      <c r="K41" s="56"/>
      <c r="L41" s="56"/>
      <c r="M41" s="81"/>
      <c r="N41" s="80"/>
    </row>
    <row r="42" spans="1:14" ht="25" x14ac:dyDescent="0.25">
      <c r="A42" s="68"/>
      <c r="B42" s="74" t="s">
        <v>297</v>
      </c>
      <c r="C42" s="109">
        <v>4</v>
      </c>
      <c r="D42" s="48">
        <f>C42*y*j</f>
        <v>20.8</v>
      </c>
      <c r="E42" s="48">
        <f>D42</f>
        <v>20.8</v>
      </c>
      <c r="F42" s="48">
        <f t="shared" si="4"/>
        <v>20.8</v>
      </c>
      <c r="G42" s="48"/>
      <c r="H42" s="63" t="s">
        <v>334</v>
      </c>
      <c r="I42" s="56"/>
      <c r="J42" s="56"/>
      <c r="K42" s="56"/>
      <c r="L42" s="56"/>
      <c r="M42" s="55"/>
    </row>
    <row r="43" spans="1:14" x14ac:dyDescent="0.25">
      <c r="A43" s="68"/>
      <c r="B43" s="74" t="s">
        <v>335</v>
      </c>
      <c r="C43" s="60">
        <v>6</v>
      </c>
      <c r="D43" s="60">
        <f>C43*a+C43*d+C43*f</f>
        <v>576</v>
      </c>
      <c r="E43" s="60"/>
      <c r="F43" s="48">
        <f t="shared" si="4"/>
        <v>576</v>
      </c>
      <c r="G43" s="60"/>
      <c r="H43" s="59"/>
      <c r="I43" s="56"/>
      <c r="J43" s="56"/>
      <c r="K43" s="56"/>
      <c r="L43" s="56"/>
      <c r="M43" s="55"/>
    </row>
    <row r="44" spans="1:14" x14ac:dyDescent="0.25">
      <c r="A44" s="68"/>
      <c r="B44" s="74" t="s">
        <v>336</v>
      </c>
      <c r="C44" s="60">
        <v>4</v>
      </c>
      <c r="D44" s="60">
        <f>C44*b+C44*e+C44*g</f>
        <v>48</v>
      </c>
      <c r="E44" s="60"/>
      <c r="F44" s="48">
        <f t="shared" si="4"/>
        <v>48</v>
      </c>
      <c r="G44" s="60"/>
      <c r="H44" s="59"/>
      <c r="I44" s="56"/>
      <c r="J44" s="56"/>
      <c r="K44" s="56"/>
      <c r="L44" s="56"/>
      <c r="M44" s="55"/>
      <c r="N44" s="80"/>
    </row>
    <row r="45" spans="1:14" x14ac:dyDescent="0.25">
      <c r="A45" s="68"/>
      <c r="B45" s="74" t="s">
        <v>337</v>
      </c>
      <c r="C45" s="60">
        <v>6</v>
      </c>
      <c r="D45" s="60">
        <f>C45*b+C45*e+C45*g</f>
        <v>72</v>
      </c>
      <c r="E45" s="60"/>
      <c r="F45" s="48">
        <f t="shared" si="4"/>
        <v>72</v>
      </c>
      <c r="G45" s="60"/>
      <c r="H45" s="59"/>
      <c r="I45" s="56"/>
      <c r="J45" s="56"/>
      <c r="K45" s="56"/>
      <c r="L45" s="56"/>
      <c r="M45" s="55"/>
      <c r="N45" s="80"/>
    </row>
    <row r="46" spans="1:14" x14ac:dyDescent="0.25">
      <c r="A46" s="68"/>
      <c r="B46" s="74" t="s">
        <v>307</v>
      </c>
      <c r="C46" s="110">
        <v>16</v>
      </c>
      <c r="D46" s="48">
        <f>C46*y*k</f>
        <v>128</v>
      </c>
      <c r="E46" s="48"/>
      <c r="F46" s="48">
        <f t="shared" si="4"/>
        <v>128</v>
      </c>
      <c r="G46" s="48"/>
      <c r="H46" s="63"/>
      <c r="I46" s="56"/>
      <c r="J46" s="56"/>
      <c r="K46" s="56"/>
      <c r="L46" s="56"/>
      <c r="M46" s="55"/>
    </row>
    <row r="47" spans="1:14" x14ac:dyDescent="0.25">
      <c r="A47" s="68"/>
      <c r="B47" s="74" t="s">
        <v>338</v>
      </c>
      <c r="C47" s="110">
        <v>1</v>
      </c>
      <c r="D47" s="60">
        <f>(C47*a+C47*d+C47*f)*k</f>
        <v>192</v>
      </c>
      <c r="E47" s="60"/>
      <c r="F47" s="48">
        <f t="shared" si="4"/>
        <v>192</v>
      </c>
      <c r="G47" s="60"/>
      <c r="H47" s="59"/>
      <c r="I47" s="56"/>
      <c r="J47" s="56"/>
      <c r="K47" s="56"/>
      <c r="L47" s="56"/>
      <c r="M47" s="55"/>
      <c r="N47" s="80"/>
    </row>
    <row r="48" spans="1:14" x14ac:dyDescent="0.25">
      <c r="A48" s="68"/>
      <c r="B48" s="74" t="s">
        <v>308</v>
      </c>
      <c r="C48" s="60">
        <v>16</v>
      </c>
      <c r="D48" s="48">
        <f t="shared" ref="D48:D53" si="5">C48*y</f>
        <v>64</v>
      </c>
      <c r="E48" s="48"/>
      <c r="F48" s="48">
        <f t="shared" si="4"/>
        <v>64</v>
      </c>
      <c r="G48" s="48"/>
      <c r="H48" s="63"/>
      <c r="I48" s="56"/>
      <c r="J48" s="56"/>
      <c r="K48" s="56"/>
      <c r="L48" s="56"/>
      <c r="M48" s="55"/>
    </row>
    <row r="49" spans="1:13" x14ac:dyDescent="0.25">
      <c r="A49" s="68"/>
      <c r="B49" s="74" t="s">
        <v>339</v>
      </c>
      <c r="C49" s="110">
        <v>8</v>
      </c>
      <c r="D49" s="48">
        <f>C49*y*k</f>
        <v>64</v>
      </c>
      <c r="E49" s="48"/>
      <c r="F49" s="48">
        <f t="shared" si="4"/>
        <v>64</v>
      </c>
      <c r="G49" s="48"/>
      <c r="H49" s="63"/>
      <c r="I49" s="56"/>
      <c r="J49" s="56"/>
      <c r="K49" s="56"/>
      <c r="L49" s="56"/>
      <c r="M49" s="55"/>
    </row>
    <row r="50" spans="1:13" x14ac:dyDescent="0.25">
      <c r="A50" s="68"/>
      <c r="B50" s="74" t="s">
        <v>340</v>
      </c>
      <c r="C50" s="60">
        <v>24</v>
      </c>
      <c r="D50" s="48">
        <f t="shared" si="5"/>
        <v>96</v>
      </c>
      <c r="E50" s="48"/>
      <c r="F50" s="48">
        <f t="shared" si="4"/>
        <v>96</v>
      </c>
      <c r="G50" s="48"/>
      <c r="H50" s="63"/>
      <c r="I50" s="56"/>
      <c r="J50" s="56"/>
      <c r="K50" s="56"/>
      <c r="L50" s="56"/>
      <c r="M50" s="55"/>
    </row>
    <row r="51" spans="1:13" x14ac:dyDescent="0.25">
      <c r="A51" s="68"/>
      <c r="B51" s="74" t="s">
        <v>341</v>
      </c>
      <c r="C51" s="60">
        <v>0</v>
      </c>
      <c r="D51" s="48">
        <f t="shared" si="5"/>
        <v>0</v>
      </c>
      <c r="E51" s="48">
        <f>D51</f>
        <v>0</v>
      </c>
      <c r="F51" s="48"/>
      <c r="G51" s="48"/>
      <c r="H51" s="63" t="s">
        <v>311</v>
      </c>
      <c r="I51" s="56"/>
      <c r="J51" s="56"/>
      <c r="K51" s="56"/>
      <c r="L51" s="56"/>
      <c r="M51" s="55"/>
    </row>
    <row r="52" spans="1:13" x14ac:dyDescent="0.25">
      <c r="A52" s="68"/>
      <c r="B52" s="74" t="s">
        <v>313</v>
      </c>
      <c r="C52" s="60">
        <v>8</v>
      </c>
      <c r="D52" s="48">
        <f t="shared" si="5"/>
        <v>32</v>
      </c>
      <c r="E52" s="48">
        <f>D52</f>
        <v>32</v>
      </c>
      <c r="F52" s="48"/>
      <c r="G52" s="48"/>
      <c r="H52" s="63"/>
      <c r="I52" s="56"/>
      <c r="J52" s="56"/>
      <c r="K52" s="56"/>
      <c r="L52" s="56"/>
      <c r="M52" s="55"/>
    </row>
    <row r="53" spans="1:13" x14ac:dyDescent="0.25">
      <c r="A53" s="79"/>
      <c r="B53" s="78" t="s">
        <v>342</v>
      </c>
      <c r="C53" s="60">
        <v>24</v>
      </c>
      <c r="D53" s="48">
        <f t="shared" si="5"/>
        <v>96</v>
      </c>
      <c r="E53" s="48"/>
      <c r="F53" s="60">
        <f>D53</f>
        <v>96</v>
      </c>
      <c r="G53" s="48"/>
      <c r="H53" s="63"/>
      <c r="I53" s="56"/>
      <c r="J53" s="56"/>
      <c r="K53" s="56"/>
      <c r="L53" s="56"/>
      <c r="M53" s="55"/>
    </row>
    <row r="54" spans="1:13" x14ac:dyDescent="0.25">
      <c r="A54" s="68"/>
      <c r="B54" s="74" t="s">
        <v>315</v>
      </c>
      <c r="C54" s="110">
        <v>48</v>
      </c>
      <c r="D54" s="48">
        <f>C54*y*k</f>
        <v>384</v>
      </c>
      <c r="E54" s="48"/>
      <c r="F54" s="48"/>
      <c r="G54" s="48">
        <f>D54</f>
        <v>384</v>
      </c>
      <c r="H54" s="63"/>
      <c r="I54" s="56"/>
      <c r="J54" s="56"/>
      <c r="K54" s="56"/>
      <c r="L54" s="56"/>
      <c r="M54" s="55"/>
    </row>
    <row r="55" spans="1:13" x14ac:dyDescent="0.25">
      <c r="A55" s="66" t="s">
        <v>316</v>
      </c>
      <c r="B55" s="77" t="s">
        <v>343</v>
      </c>
      <c r="C55" s="110">
        <v>8</v>
      </c>
      <c r="D55" s="60">
        <f>(C55*a+C55*d+C55*f)*k</f>
        <v>1536</v>
      </c>
      <c r="E55" s="60"/>
      <c r="F55" s="60">
        <f>D55</f>
        <v>1536</v>
      </c>
      <c r="G55" s="60"/>
      <c r="H55" s="59" t="s">
        <v>344</v>
      </c>
      <c r="I55" s="56"/>
      <c r="J55" s="56"/>
      <c r="K55" s="56"/>
      <c r="L55" s="56"/>
      <c r="M55" s="55"/>
    </row>
    <row r="56" spans="1:13" x14ac:dyDescent="0.25">
      <c r="A56" s="73" t="s">
        <v>345</v>
      </c>
      <c r="B56" s="72" t="s">
        <v>320</v>
      </c>
      <c r="C56" s="60">
        <v>2</v>
      </c>
      <c r="D56" s="48">
        <f>C56*y</f>
        <v>8</v>
      </c>
      <c r="E56" s="48">
        <f>D56</f>
        <v>8</v>
      </c>
      <c r="F56" s="48"/>
      <c r="G56" s="48"/>
      <c r="H56" s="63"/>
      <c r="I56" s="56"/>
      <c r="J56" s="56"/>
      <c r="K56" s="56"/>
      <c r="L56" s="56"/>
      <c r="M56" s="55"/>
    </row>
    <row r="57" spans="1:13" x14ac:dyDescent="0.25">
      <c r="A57" s="73"/>
      <c r="B57" s="72" t="s">
        <v>321</v>
      </c>
      <c r="C57" s="60">
        <v>1</v>
      </c>
      <c r="D57" s="48">
        <f>C57*y</f>
        <v>4</v>
      </c>
      <c r="E57" s="48">
        <f>D57</f>
        <v>4</v>
      </c>
      <c r="F57" s="48"/>
      <c r="G57" s="48"/>
      <c r="H57" s="63"/>
      <c r="I57" s="56"/>
      <c r="J57" s="56"/>
      <c r="K57" s="56"/>
      <c r="L57" s="56"/>
      <c r="M57" s="55"/>
    </row>
    <row r="58" spans="1:13" x14ac:dyDescent="0.25">
      <c r="A58" s="73"/>
      <c r="B58" s="72" t="s">
        <v>322</v>
      </c>
      <c r="C58" s="60">
        <v>1</v>
      </c>
      <c r="D58" s="48">
        <f>C58*y</f>
        <v>4</v>
      </c>
      <c r="E58" s="48">
        <f>D58</f>
        <v>4</v>
      </c>
      <c r="F58" s="48"/>
      <c r="G58" s="48"/>
      <c r="H58" s="63"/>
      <c r="I58" s="56"/>
      <c r="J58" s="56"/>
      <c r="K58" s="56"/>
      <c r="L58" s="56"/>
      <c r="M58" s="55"/>
    </row>
    <row r="59" spans="1:13" ht="12.75" customHeight="1" x14ac:dyDescent="0.25">
      <c r="A59" s="157" t="s">
        <v>346</v>
      </c>
      <c r="B59" s="76" t="s">
        <v>347</v>
      </c>
      <c r="C59" s="109">
        <v>4</v>
      </c>
      <c r="D59" s="48">
        <f>C59*y*j</f>
        <v>20.8</v>
      </c>
      <c r="E59" s="48">
        <f>D59</f>
        <v>20.8</v>
      </c>
      <c r="F59" s="48"/>
      <c r="G59" s="48"/>
      <c r="H59" s="63"/>
      <c r="I59" s="56"/>
      <c r="J59" s="56"/>
      <c r="K59" s="56"/>
      <c r="L59" s="56"/>
      <c r="M59" s="55"/>
    </row>
    <row r="60" spans="1:13" x14ac:dyDescent="0.25">
      <c r="A60" s="157"/>
      <c r="B60" s="76" t="s">
        <v>299</v>
      </c>
      <c r="C60" s="60">
        <v>1</v>
      </c>
      <c r="D60" s="48">
        <f>C60*y</f>
        <v>4</v>
      </c>
      <c r="E60" s="48"/>
      <c r="F60" s="48"/>
      <c r="G60" s="48">
        <f>D60</f>
        <v>4</v>
      </c>
      <c r="H60" s="63"/>
      <c r="I60" s="56"/>
      <c r="J60" s="56"/>
      <c r="K60" s="56"/>
      <c r="L60" s="56"/>
      <c r="M60" s="55"/>
    </row>
    <row r="61" spans="1:13" x14ac:dyDescent="0.25">
      <c r="A61" s="68" t="s">
        <v>300</v>
      </c>
      <c r="B61" s="75" t="s">
        <v>348</v>
      </c>
      <c r="C61" s="60">
        <v>8</v>
      </c>
      <c r="D61" s="60">
        <f>C61*b+C61*e+C61*g</f>
        <v>96</v>
      </c>
      <c r="E61" s="48">
        <f t="shared" ref="E61:E67" si="6">D61</f>
        <v>96</v>
      </c>
      <c r="F61" s="60"/>
      <c r="G61" s="60"/>
      <c r="H61" s="59"/>
      <c r="I61" s="56"/>
      <c r="J61" s="56"/>
      <c r="K61" s="56"/>
      <c r="L61" s="56"/>
      <c r="M61" s="55"/>
    </row>
    <row r="62" spans="1:13" x14ac:dyDescent="0.25">
      <c r="A62" s="68" t="s">
        <v>300</v>
      </c>
      <c r="B62" s="75" t="s">
        <v>349</v>
      </c>
      <c r="C62" s="60">
        <v>4</v>
      </c>
      <c r="D62" s="48">
        <f t="shared" ref="D62:D95" si="7">C62*y</f>
        <v>16</v>
      </c>
      <c r="E62" s="48">
        <f t="shared" si="6"/>
        <v>16</v>
      </c>
      <c r="F62" s="48"/>
      <c r="G62" s="48"/>
      <c r="H62" s="63"/>
      <c r="I62" s="56"/>
      <c r="J62" s="56"/>
      <c r="K62" s="56"/>
      <c r="L62" s="56"/>
      <c r="M62" s="55"/>
    </row>
    <row r="63" spans="1:13" x14ac:dyDescent="0.25">
      <c r="A63" s="68"/>
      <c r="B63" s="74" t="s">
        <v>350</v>
      </c>
      <c r="C63" s="60">
        <v>4</v>
      </c>
      <c r="D63" s="48">
        <f t="shared" si="7"/>
        <v>16</v>
      </c>
      <c r="E63" s="48">
        <f t="shared" si="6"/>
        <v>16</v>
      </c>
      <c r="F63" s="48"/>
      <c r="G63" s="48"/>
      <c r="H63" s="63"/>
      <c r="I63" s="56"/>
      <c r="J63" s="56"/>
      <c r="K63" s="56"/>
      <c r="L63" s="56"/>
      <c r="M63" s="55"/>
    </row>
    <row r="64" spans="1:13" x14ac:dyDescent="0.25">
      <c r="A64" s="68"/>
      <c r="B64" s="74" t="s">
        <v>351</v>
      </c>
      <c r="C64" s="60">
        <v>4</v>
      </c>
      <c r="D64" s="48">
        <f t="shared" si="7"/>
        <v>16</v>
      </c>
      <c r="E64" s="48">
        <f t="shared" si="6"/>
        <v>16</v>
      </c>
      <c r="F64" s="48"/>
      <c r="G64" s="48"/>
      <c r="H64" s="63"/>
      <c r="I64" s="56"/>
      <c r="J64" s="56"/>
      <c r="K64" s="56"/>
      <c r="L64" s="56"/>
      <c r="M64" s="55"/>
    </row>
    <row r="65" spans="1:13" x14ac:dyDescent="0.25">
      <c r="A65" s="68"/>
      <c r="B65" s="74" t="s">
        <v>352</v>
      </c>
      <c r="C65" s="60">
        <v>4</v>
      </c>
      <c r="D65" s="48">
        <f t="shared" si="7"/>
        <v>16</v>
      </c>
      <c r="E65" s="48">
        <f t="shared" si="6"/>
        <v>16</v>
      </c>
      <c r="F65" s="48"/>
      <c r="G65" s="48"/>
      <c r="H65" s="63"/>
      <c r="I65" s="56"/>
      <c r="J65" s="56"/>
      <c r="K65" s="56"/>
      <c r="L65" s="56"/>
      <c r="M65" s="55"/>
    </row>
    <row r="66" spans="1:13" x14ac:dyDescent="0.25">
      <c r="A66" s="68"/>
      <c r="B66" s="74" t="s">
        <v>313</v>
      </c>
      <c r="C66" s="60">
        <v>4</v>
      </c>
      <c r="D66" s="48">
        <f t="shared" si="7"/>
        <v>16</v>
      </c>
      <c r="E66" s="48">
        <f t="shared" si="6"/>
        <v>16</v>
      </c>
      <c r="F66" s="48"/>
      <c r="G66" s="48"/>
      <c r="H66" s="63"/>
      <c r="I66" s="56"/>
      <c r="J66" s="56"/>
      <c r="K66" s="56"/>
      <c r="L66" s="56"/>
      <c r="M66" s="55"/>
    </row>
    <row r="67" spans="1:13" x14ac:dyDescent="0.25">
      <c r="A67" s="68"/>
      <c r="B67" s="74" t="s">
        <v>353</v>
      </c>
      <c r="C67" s="60">
        <v>2</v>
      </c>
      <c r="D67" s="48">
        <f t="shared" si="7"/>
        <v>8</v>
      </c>
      <c r="E67" s="48">
        <f t="shared" si="6"/>
        <v>8</v>
      </c>
      <c r="F67" s="48"/>
      <c r="G67" s="48"/>
      <c r="H67" s="63"/>
      <c r="I67" s="56"/>
      <c r="J67" s="56"/>
      <c r="K67" s="56"/>
      <c r="L67" s="56"/>
      <c r="M67" s="55"/>
    </row>
    <row r="68" spans="1:13" x14ac:dyDescent="0.25">
      <c r="A68" s="68"/>
      <c r="B68" s="74" t="s">
        <v>299</v>
      </c>
      <c r="C68" s="60">
        <v>8</v>
      </c>
      <c r="D68" s="48">
        <f t="shared" si="7"/>
        <v>32</v>
      </c>
      <c r="E68" s="48"/>
      <c r="F68" s="48"/>
      <c r="G68" s="48">
        <f>D68</f>
        <v>32</v>
      </c>
      <c r="H68" s="63"/>
      <c r="I68" s="56"/>
      <c r="J68" s="56"/>
      <c r="K68" s="56"/>
      <c r="L68" s="56"/>
      <c r="M68" s="55"/>
    </row>
    <row r="69" spans="1:13" x14ac:dyDescent="0.25">
      <c r="A69" s="73" t="s">
        <v>345</v>
      </c>
      <c r="B69" s="72" t="s">
        <v>320</v>
      </c>
      <c r="C69" s="60">
        <v>2</v>
      </c>
      <c r="D69" s="48">
        <f t="shared" si="7"/>
        <v>8</v>
      </c>
      <c r="E69" s="48">
        <f t="shared" ref="E69:E79" si="8">D69</f>
        <v>8</v>
      </c>
      <c r="F69" s="48"/>
      <c r="G69" s="48"/>
      <c r="H69" s="63"/>
      <c r="I69" s="56"/>
      <c r="J69" s="56"/>
      <c r="K69" s="56"/>
      <c r="L69" s="56"/>
      <c r="M69" s="55"/>
    </row>
    <row r="70" spans="1:13" x14ac:dyDescent="0.25">
      <c r="A70" s="73"/>
      <c r="B70" s="72" t="s">
        <v>321</v>
      </c>
      <c r="C70" s="60">
        <v>0</v>
      </c>
      <c r="D70" s="48">
        <f t="shared" si="7"/>
        <v>0</v>
      </c>
      <c r="E70" s="48">
        <f t="shared" si="8"/>
        <v>0</v>
      </c>
      <c r="F70" s="48"/>
      <c r="G70" s="48"/>
      <c r="H70" s="63" t="s">
        <v>311</v>
      </c>
      <c r="I70" s="56"/>
      <c r="J70" s="56"/>
      <c r="K70" s="56"/>
      <c r="L70" s="56"/>
      <c r="M70" s="55"/>
    </row>
    <row r="71" spans="1:13" x14ac:dyDescent="0.25">
      <c r="A71" s="73"/>
      <c r="B71" s="72" t="s">
        <v>322</v>
      </c>
      <c r="C71" s="60">
        <v>0</v>
      </c>
      <c r="D71" s="48">
        <f t="shared" si="7"/>
        <v>0</v>
      </c>
      <c r="E71" s="48">
        <f t="shared" si="8"/>
        <v>0</v>
      </c>
      <c r="F71" s="48"/>
      <c r="G71" s="48"/>
      <c r="H71" s="63"/>
      <c r="I71" s="56"/>
      <c r="J71" s="56"/>
      <c r="K71" s="56"/>
      <c r="L71" s="56"/>
      <c r="M71" s="55"/>
    </row>
    <row r="72" spans="1:13" ht="28.9" customHeight="1" x14ac:dyDescent="0.25">
      <c r="A72" s="159" t="s">
        <v>354</v>
      </c>
      <c r="B72" s="71" t="s">
        <v>355</v>
      </c>
      <c r="C72" s="60">
        <v>4</v>
      </c>
      <c r="D72" s="48">
        <f t="shared" si="7"/>
        <v>16</v>
      </c>
      <c r="E72" s="48">
        <f t="shared" si="8"/>
        <v>16</v>
      </c>
      <c r="F72" s="48"/>
      <c r="G72" s="48"/>
      <c r="H72" s="63"/>
      <c r="I72" s="56"/>
      <c r="J72" s="56"/>
      <c r="K72" s="56"/>
      <c r="L72" s="56"/>
      <c r="M72" s="55"/>
    </row>
    <row r="73" spans="1:13" x14ac:dyDescent="0.25">
      <c r="A73" s="159"/>
      <c r="B73" s="71" t="s">
        <v>356</v>
      </c>
      <c r="C73" s="60">
        <v>4</v>
      </c>
      <c r="D73" s="48">
        <f t="shared" si="7"/>
        <v>16</v>
      </c>
      <c r="E73" s="48">
        <f t="shared" si="8"/>
        <v>16</v>
      </c>
      <c r="F73" s="48"/>
      <c r="G73" s="48"/>
      <c r="H73" s="63"/>
      <c r="I73" s="56"/>
      <c r="J73" s="56"/>
      <c r="K73" s="56"/>
      <c r="L73" s="56"/>
      <c r="M73" s="55"/>
    </row>
    <row r="74" spans="1:13" x14ac:dyDescent="0.25">
      <c r="A74" s="71"/>
      <c r="B74" s="71" t="s">
        <v>357</v>
      </c>
      <c r="C74" s="60">
        <v>16</v>
      </c>
      <c r="D74" s="48">
        <f t="shared" si="7"/>
        <v>64</v>
      </c>
      <c r="E74" s="48">
        <f t="shared" si="8"/>
        <v>64</v>
      </c>
      <c r="F74" s="48"/>
      <c r="G74" s="48"/>
      <c r="H74" s="63"/>
      <c r="I74" s="56"/>
      <c r="J74" s="56"/>
      <c r="K74" s="56"/>
      <c r="L74" s="56"/>
      <c r="M74" s="55"/>
    </row>
    <row r="75" spans="1:13" x14ac:dyDescent="0.25">
      <c r="A75" s="71"/>
      <c r="B75" s="71" t="s">
        <v>358</v>
      </c>
      <c r="C75" s="60">
        <v>4</v>
      </c>
      <c r="D75" s="48">
        <f t="shared" si="7"/>
        <v>16</v>
      </c>
      <c r="E75" s="48">
        <f t="shared" si="8"/>
        <v>16</v>
      </c>
      <c r="F75" s="48"/>
      <c r="G75" s="48"/>
      <c r="H75" s="63"/>
      <c r="I75" s="56"/>
      <c r="J75" s="56"/>
      <c r="K75" s="56"/>
      <c r="L75" s="56"/>
      <c r="M75" s="55"/>
    </row>
    <row r="76" spans="1:13" x14ac:dyDescent="0.25">
      <c r="A76" s="71"/>
      <c r="B76" s="71" t="s">
        <v>359</v>
      </c>
      <c r="C76" s="60">
        <v>4</v>
      </c>
      <c r="D76" s="48">
        <f t="shared" si="7"/>
        <v>16</v>
      </c>
      <c r="E76" s="48">
        <f t="shared" si="8"/>
        <v>16</v>
      </c>
      <c r="F76" s="48"/>
      <c r="G76" s="48"/>
      <c r="H76" s="63"/>
      <c r="I76" s="56"/>
      <c r="J76" s="56"/>
      <c r="K76" s="56"/>
      <c r="L76" s="56"/>
      <c r="M76" s="55"/>
    </row>
    <row r="77" spans="1:13" x14ac:dyDescent="0.25">
      <c r="A77" s="71"/>
      <c r="B77" s="71" t="s">
        <v>360</v>
      </c>
      <c r="C77" s="60">
        <v>2</v>
      </c>
      <c r="D77" s="48">
        <f t="shared" si="7"/>
        <v>8</v>
      </c>
      <c r="E77" s="48">
        <f t="shared" si="8"/>
        <v>8</v>
      </c>
      <c r="F77" s="48"/>
      <c r="G77" s="48"/>
      <c r="H77" s="63"/>
      <c r="I77" s="56"/>
      <c r="J77" s="56"/>
      <c r="K77" s="56"/>
      <c r="L77" s="56"/>
      <c r="M77" s="55"/>
    </row>
    <row r="78" spans="1:13" x14ac:dyDescent="0.25">
      <c r="A78" s="71"/>
      <c r="B78" s="71" t="s">
        <v>361</v>
      </c>
      <c r="C78" s="60">
        <v>16</v>
      </c>
      <c r="D78" s="48">
        <f t="shared" si="7"/>
        <v>64</v>
      </c>
      <c r="E78" s="48">
        <f t="shared" si="8"/>
        <v>64</v>
      </c>
      <c r="F78" s="48"/>
      <c r="G78" s="48"/>
      <c r="H78" s="63"/>
      <c r="I78" s="56"/>
      <c r="J78" s="56"/>
      <c r="K78" s="56"/>
      <c r="L78" s="56"/>
      <c r="M78" s="55"/>
    </row>
    <row r="79" spans="1:13" x14ac:dyDescent="0.25">
      <c r="A79" s="71"/>
      <c r="B79" s="71" t="s">
        <v>362</v>
      </c>
      <c r="C79" s="60">
        <v>8</v>
      </c>
      <c r="D79" s="48">
        <f t="shared" si="7"/>
        <v>32</v>
      </c>
      <c r="E79" s="48">
        <f t="shared" si="8"/>
        <v>32</v>
      </c>
      <c r="F79" s="48"/>
      <c r="G79" s="48"/>
      <c r="H79" s="63"/>
      <c r="I79" s="56"/>
      <c r="J79" s="56"/>
      <c r="K79" s="56"/>
      <c r="L79" s="56"/>
      <c r="M79" s="55"/>
    </row>
    <row r="80" spans="1:13" x14ac:dyDescent="0.25">
      <c r="A80" s="71"/>
      <c r="B80" s="71" t="s">
        <v>299</v>
      </c>
      <c r="C80" s="60">
        <v>8</v>
      </c>
      <c r="D80" s="48">
        <f t="shared" si="7"/>
        <v>32</v>
      </c>
      <c r="E80" s="48"/>
      <c r="F80" s="48"/>
      <c r="G80" s="48">
        <f>D80</f>
        <v>32</v>
      </c>
      <c r="H80" s="63"/>
      <c r="I80" s="56"/>
      <c r="J80" s="56"/>
      <c r="K80" s="56"/>
      <c r="L80" s="56"/>
      <c r="M80" s="55"/>
    </row>
    <row r="81" spans="1:13" x14ac:dyDescent="0.25">
      <c r="A81" s="69" t="s">
        <v>363</v>
      </c>
      <c r="B81" s="71" t="s">
        <v>355</v>
      </c>
      <c r="C81" s="60">
        <v>4</v>
      </c>
      <c r="D81" s="48">
        <f t="shared" si="7"/>
        <v>16</v>
      </c>
      <c r="E81" s="48">
        <f t="shared" ref="E81:E89" si="9">D81</f>
        <v>16</v>
      </c>
      <c r="F81" s="48"/>
      <c r="G81" s="48"/>
      <c r="H81" s="63"/>
      <c r="I81" s="56"/>
      <c r="J81" s="56"/>
      <c r="K81" s="56"/>
      <c r="L81" s="56"/>
      <c r="M81" s="55"/>
    </row>
    <row r="82" spans="1:13" x14ac:dyDescent="0.25">
      <c r="A82" s="71"/>
      <c r="B82" s="71" t="s">
        <v>364</v>
      </c>
      <c r="C82" s="60">
        <v>4</v>
      </c>
      <c r="D82" s="48">
        <f t="shared" si="7"/>
        <v>16</v>
      </c>
      <c r="E82" s="48">
        <f t="shared" si="9"/>
        <v>16</v>
      </c>
      <c r="F82" s="48"/>
      <c r="G82" s="48"/>
      <c r="H82" s="63"/>
      <c r="I82" s="56"/>
      <c r="J82" s="56"/>
      <c r="K82" s="56"/>
      <c r="L82" s="56"/>
      <c r="M82" s="55"/>
    </row>
    <row r="83" spans="1:13" x14ac:dyDescent="0.25">
      <c r="A83" s="71"/>
      <c r="B83" s="71" t="s">
        <v>357</v>
      </c>
      <c r="C83" s="60">
        <v>8</v>
      </c>
      <c r="D83" s="48">
        <f t="shared" si="7"/>
        <v>32</v>
      </c>
      <c r="E83" s="48">
        <f t="shared" si="9"/>
        <v>32</v>
      </c>
      <c r="F83" s="48"/>
      <c r="G83" s="48"/>
      <c r="H83" s="63"/>
      <c r="I83" s="56"/>
      <c r="J83" s="56"/>
      <c r="K83" s="56"/>
      <c r="L83" s="56"/>
      <c r="M83" s="55"/>
    </row>
    <row r="84" spans="1:13" x14ac:dyDescent="0.25">
      <c r="A84" s="71"/>
      <c r="B84" s="71" t="s">
        <v>358</v>
      </c>
      <c r="C84" s="60">
        <v>4</v>
      </c>
      <c r="D84" s="48">
        <f t="shared" si="7"/>
        <v>16</v>
      </c>
      <c r="E84" s="48">
        <f t="shared" si="9"/>
        <v>16</v>
      </c>
      <c r="F84" s="48"/>
      <c r="G84" s="48"/>
      <c r="H84" s="63"/>
      <c r="I84" s="56"/>
      <c r="J84" s="56"/>
      <c r="K84" s="56"/>
      <c r="L84" s="56"/>
      <c r="M84" s="55"/>
    </row>
    <row r="85" spans="1:13" x14ac:dyDescent="0.25">
      <c r="A85" s="71"/>
      <c r="B85" s="71" t="s">
        <v>365</v>
      </c>
      <c r="C85" s="60">
        <v>4</v>
      </c>
      <c r="D85" s="48">
        <f t="shared" si="7"/>
        <v>16</v>
      </c>
      <c r="E85" s="48">
        <f t="shared" si="9"/>
        <v>16</v>
      </c>
      <c r="F85" s="48"/>
      <c r="G85" s="48"/>
      <c r="H85" s="63"/>
      <c r="I85" s="56"/>
      <c r="J85" s="56"/>
      <c r="K85" s="56"/>
      <c r="L85" s="56"/>
      <c r="M85" s="55"/>
    </row>
    <row r="86" spans="1:13" x14ac:dyDescent="0.25">
      <c r="A86" s="71"/>
      <c r="B86" s="71" t="s">
        <v>366</v>
      </c>
      <c r="C86" s="60">
        <v>2</v>
      </c>
      <c r="D86" s="48">
        <f t="shared" si="7"/>
        <v>8</v>
      </c>
      <c r="E86" s="48">
        <f t="shared" si="9"/>
        <v>8</v>
      </c>
      <c r="F86" s="48"/>
      <c r="G86" s="48"/>
      <c r="H86" s="63"/>
      <c r="I86" s="56"/>
      <c r="J86" s="56"/>
      <c r="K86" s="56"/>
      <c r="L86" s="56"/>
      <c r="M86" s="55"/>
    </row>
    <row r="87" spans="1:13" x14ac:dyDescent="0.25">
      <c r="A87" s="71"/>
      <c r="B87" s="71" t="s">
        <v>361</v>
      </c>
      <c r="C87" s="60">
        <v>12</v>
      </c>
      <c r="D87" s="48">
        <f t="shared" si="7"/>
        <v>48</v>
      </c>
      <c r="E87" s="48">
        <f t="shared" si="9"/>
        <v>48</v>
      </c>
      <c r="F87" s="48"/>
      <c r="G87" s="48"/>
      <c r="H87" s="63"/>
      <c r="I87" s="56"/>
      <c r="J87" s="56"/>
      <c r="K87" s="56"/>
      <c r="L87" s="56"/>
      <c r="M87" s="55"/>
    </row>
    <row r="88" spans="1:13" x14ac:dyDescent="0.25">
      <c r="A88" s="71"/>
      <c r="B88" s="71" t="s">
        <v>367</v>
      </c>
      <c r="C88" s="60">
        <v>16</v>
      </c>
      <c r="D88" s="48">
        <f t="shared" si="7"/>
        <v>64</v>
      </c>
      <c r="E88" s="48">
        <f t="shared" si="9"/>
        <v>64</v>
      </c>
      <c r="F88" s="48"/>
      <c r="G88" s="48"/>
      <c r="H88" s="63"/>
      <c r="I88" s="56"/>
      <c r="J88" s="56"/>
      <c r="K88" s="56"/>
      <c r="L88" s="56"/>
      <c r="M88" s="55"/>
    </row>
    <row r="89" spans="1:13" x14ac:dyDescent="0.25">
      <c r="A89" s="71"/>
      <c r="B89" s="71" t="s">
        <v>368</v>
      </c>
      <c r="C89" s="60">
        <v>12</v>
      </c>
      <c r="D89" s="48">
        <f t="shared" si="7"/>
        <v>48</v>
      </c>
      <c r="E89" s="48">
        <f t="shared" si="9"/>
        <v>48</v>
      </c>
      <c r="F89" s="48"/>
      <c r="G89" s="48"/>
      <c r="H89" s="63"/>
      <c r="I89" s="56"/>
      <c r="J89" s="56"/>
      <c r="K89" s="56"/>
      <c r="L89" s="56"/>
      <c r="M89" s="55"/>
    </row>
    <row r="90" spans="1:13" x14ac:dyDescent="0.25">
      <c r="A90" s="71"/>
      <c r="B90" s="71" t="s">
        <v>299</v>
      </c>
      <c r="C90" s="60">
        <v>8</v>
      </c>
      <c r="D90" s="48">
        <f t="shared" si="7"/>
        <v>32</v>
      </c>
      <c r="E90" s="48"/>
      <c r="F90" s="48"/>
      <c r="G90" s="48">
        <f>D90</f>
        <v>32</v>
      </c>
      <c r="H90" s="63"/>
      <c r="I90" s="56"/>
      <c r="J90" s="56"/>
      <c r="K90" s="56"/>
      <c r="L90" s="56"/>
      <c r="M90" s="55"/>
    </row>
    <row r="91" spans="1:13" ht="13.15" customHeight="1" x14ac:dyDescent="0.25">
      <c r="A91" s="159" t="s">
        <v>369</v>
      </c>
      <c r="B91" s="69" t="s">
        <v>370</v>
      </c>
      <c r="C91" s="60">
        <v>4</v>
      </c>
      <c r="D91" s="48">
        <f t="shared" si="7"/>
        <v>16</v>
      </c>
      <c r="E91" s="48">
        <f>D91</f>
        <v>16</v>
      </c>
      <c r="F91" s="48"/>
      <c r="G91" s="48"/>
      <c r="H91" s="63"/>
      <c r="I91" s="56"/>
      <c r="J91" s="56"/>
      <c r="K91" s="56"/>
      <c r="L91" s="56"/>
      <c r="M91" s="55"/>
    </row>
    <row r="92" spans="1:13" x14ac:dyDescent="0.25">
      <c r="A92" s="159"/>
      <c r="B92" s="69" t="s">
        <v>371</v>
      </c>
      <c r="C92" s="60">
        <v>0</v>
      </c>
      <c r="D92" s="48">
        <f t="shared" si="7"/>
        <v>0</v>
      </c>
      <c r="E92" s="48">
        <f>D92</f>
        <v>0</v>
      </c>
      <c r="F92" s="48"/>
      <c r="G92" s="48"/>
      <c r="H92" s="63" t="s">
        <v>372</v>
      </c>
      <c r="I92" s="56"/>
      <c r="J92" s="56"/>
      <c r="K92" s="56"/>
      <c r="L92" s="56"/>
      <c r="M92" s="55"/>
    </row>
    <row r="93" spans="1:13" x14ac:dyDescent="0.25">
      <c r="A93" s="159"/>
      <c r="B93" s="69" t="s">
        <v>373</v>
      </c>
      <c r="C93" s="60">
        <v>4</v>
      </c>
      <c r="D93" s="48">
        <f t="shared" si="7"/>
        <v>16</v>
      </c>
      <c r="E93" s="48">
        <f>D93</f>
        <v>16</v>
      </c>
      <c r="F93" s="48"/>
      <c r="G93" s="48"/>
      <c r="H93" s="63"/>
      <c r="I93" s="56"/>
      <c r="J93" s="56"/>
      <c r="K93" s="56"/>
      <c r="L93" s="56"/>
      <c r="M93" s="55"/>
    </row>
    <row r="94" spans="1:13" x14ac:dyDescent="0.25">
      <c r="A94" s="71"/>
      <c r="B94" s="69" t="s">
        <v>374</v>
      </c>
      <c r="C94" s="60">
        <v>2</v>
      </c>
      <c r="D94" s="48">
        <f t="shared" si="7"/>
        <v>8</v>
      </c>
      <c r="E94" s="48">
        <f>D94</f>
        <v>8</v>
      </c>
      <c r="F94" s="48"/>
      <c r="G94" s="48"/>
      <c r="H94" s="63"/>
      <c r="I94" s="56"/>
      <c r="J94" s="56"/>
      <c r="K94" s="56"/>
      <c r="L94" s="56"/>
      <c r="M94" s="55"/>
    </row>
    <row r="95" spans="1:13" x14ac:dyDescent="0.25">
      <c r="A95" s="71"/>
      <c r="B95" s="69" t="s">
        <v>299</v>
      </c>
      <c r="C95" s="60">
        <v>10</v>
      </c>
      <c r="D95" s="48">
        <f t="shared" si="7"/>
        <v>40</v>
      </c>
      <c r="E95" s="48"/>
      <c r="F95" s="48"/>
      <c r="G95" s="48">
        <f>D95</f>
        <v>40</v>
      </c>
      <c r="H95" s="63"/>
      <c r="I95" s="56"/>
      <c r="J95" s="56"/>
      <c r="K95" s="56"/>
      <c r="L95" s="56"/>
      <c r="M95" s="55"/>
    </row>
    <row r="96" spans="1:13" ht="13.9" customHeight="1" x14ac:dyDescent="0.25">
      <c r="A96" s="155" t="s">
        <v>375</v>
      </c>
      <c r="B96" s="69" t="s">
        <v>376</v>
      </c>
      <c r="C96" s="60">
        <v>0</v>
      </c>
      <c r="D96" s="48">
        <f>C96*y*o</f>
        <v>0</v>
      </c>
      <c r="E96" s="48">
        <f>D96</f>
        <v>0</v>
      </c>
      <c r="F96" s="48"/>
      <c r="G96" s="48"/>
      <c r="H96" s="63" t="s">
        <v>377</v>
      </c>
      <c r="I96" s="56"/>
      <c r="J96" s="56"/>
      <c r="K96" s="56"/>
      <c r="L96" s="56"/>
      <c r="M96" s="55"/>
    </row>
    <row r="97" spans="1:13" x14ac:dyDescent="0.25">
      <c r="A97" s="155"/>
      <c r="B97" s="69" t="s">
        <v>378</v>
      </c>
      <c r="C97" s="60">
        <v>0</v>
      </c>
      <c r="D97" s="48">
        <f>C97*y*o</f>
        <v>0</v>
      </c>
      <c r="E97" s="48">
        <f>D97</f>
        <v>0</v>
      </c>
      <c r="F97" s="48"/>
      <c r="G97" s="48"/>
      <c r="H97" s="63" t="s">
        <v>377</v>
      </c>
      <c r="I97" s="56"/>
      <c r="J97" s="56"/>
      <c r="K97" s="56"/>
      <c r="L97" s="56"/>
      <c r="M97" s="55"/>
    </row>
    <row r="98" spans="1:13" x14ac:dyDescent="0.25">
      <c r="A98" s="155"/>
      <c r="B98" s="69" t="s">
        <v>379</v>
      </c>
      <c r="C98" s="60">
        <v>0</v>
      </c>
      <c r="D98" s="60">
        <f>C98*z*o</f>
        <v>0</v>
      </c>
      <c r="E98" s="48">
        <f>D98</f>
        <v>0</v>
      </c>
      <c r="F98" s="60"/>
      <c r="G98" s="60"/>
      <c r="H98" s="63" t="s">
        <v>377</v>
      </c>
      <c r="I98" s="56"/>
      <c r="J98" s="56"/>
      <c r="K98" s="56"/>
      <c r="L98" s="56"/>
      <c r="M98" s="55"/>
    </row>
    <row r="99" spans="1:13" x14ac:dyDescent="0.25">
      <c r="A99" s="70"/>
      <c r="B99" s="69" t="s">
        <v>380</v>
      </c>
      <c r="C99" s="60">
        <v>0</v>
      </c>
      <c r="D99" s="48">
        <f>C99*y*o</f>
        <v>0</v>
      </c>
      <c r="E99" s="48">
        <f>D99</f>
        <v>0</v>
      </c>
      <c r="F99" s="48"/>
      <c r="G99" s="48"/>
      <c r="H99" s="63" t="s">
        <v>377</v>
      </c>
      <c r="I99" s="56"/>
      <c r="J99" s="56"/>
      <c r="K99" s="56"/>
      <c r="L99" s="56"/>
      <c r="M99" s="55"/>
    </row>
    <row r="100" spans="1:13" x14ac:dyDescent="0.25">
      <c r="A100" s="70"/>
      <c r="B100" s="69" t="s">
        <v>299</v>
      </c>
      <c r="C100" s="60">
        <v>0</v>
      </c>
      <c r="D100" s="48">
        <f>C100*y</f>
        <v>0</v>
      </c>
      <c r="E100" s="48"/>
      <c r="F100" s="48"/>
      <c r="G100" s="48">
        <f>D100</f>
        <v>0</v>
      </c>
      <c r="H100" s="63"/>
      <c r="I100" s="56"/>
      <c r="J100" s="56"/>
      <c r="K100" s="56"/>
      <c r="L100" s="56"/>
      <c r="M100" s="55"/>
    </row>
    <row r="101" spans="1:13" ht="12.75" customHeight="1" x14ac:dyDescent="0.25">
      <c r="A101" s="155" t="s">
        <v>381</v>
      </c>
      <c r="B101" s="69" t="s">
        <v>382</v>
      </c>
      <c r="C101" s="60">
        <v>0</v>
      </c>
      <c r="D101" s="48">
        <f>C101*y*o</f>
        <v>0</v>
      </c>
      <c r="E101" s="48">
        <f>D101</f>
        <v>0</v>
      </c>
      <c r="F101" s="48"/>
      <c r="G101" s="48"/>
      <c r="H101" s="63"/>
      <c r="I101" s="56"/>
      <c r="J101" s="56"/>
      <c r="K101" s="56"/>
      <c r="L101" s="56"/>
      <c r="M101" s="55"/>
    </row>
    <row r="102" spans="1:13" x14ac:dyDescent="0.25">
      <c r="A102" s="155"/>
      <c r="B102" s="69" t="s">
        <v>383</v>
      </c>
      <c r="C102" s="60">
        <v>0</v>
      </c>
      <c r="D102" s="48">
        <f>C102*y*o</f>
        <v>0</v>
      </c>
      <c r="E102" s="48">
        <f>D102</f>
        <v>0</v>
      </c>
      <c r="F102" s="48"/>
      <c r="G102" s="48"/>
      <c r="H102" s="63"/>
      <c r="I102" s="56"/>
      <c r="J102" s="56"/>
      <c r="K102" s="56"/>
      <c r="L102" s="56"/>
      <c r="M102" s="55"/>
    </row>
    <row r="103" spans="1:13" x14ac:dyDescent="0.25">
      <c r="A103" s="155"/>
      <c r="B103" s="69" t="s">
        <v>384</v>
      </c>
      <c r="C103" s="60">
        <v>0</v>
      </c>
      <c r="D103" s="48">
        <f>C103*y*o</f>
        <v>0</v>
      </c>
      <c r="E103" s="48">
        <f>D103</f>
        <v>0</v>
      </c>
      <c r="F103" s="48"/>
      <c r="G103" s="48"/>
      <c r="H103" s="63"/>
      <c r="I103" s="56"/>
      <c r="J103" s="56"/>
      <c r="K103" s="56"/>
      <c r="L103" s="56"/>
      <c r="M103" s="55"/>
    </row>
    <row r="104" spans="1:13" x14ac:dyDescent="0.25">
      <c r="A104" s="70"/>
      <c r="B104" s="69" t="s">
        <v>385</v>
      </c>
      <c r="C104" s="60">
        <v>0</v>
      </c>
      <c r="D104" s="48">
        <f>C104*y*o</f>
        <v>0</v>
      </c>
      <c r="E104" s="48">
        <f>D104</f>
        <v>0</v>
      </c>
      <c r="F104" s="48"/>
      <c r="G104" s="48"/>
      <c r="H104" s="63"/>
      <c r="I104" s="56"/>
      <c r="J104" s="56"/>
      <c r="K104" s="56"/>
      <c r="L104" s="56"/>
      <c r="M104" s="55"/>
    </row>
    <row r="105" spans="1:13" x14ac:dyDescent="0.25">
      <c r="A105" s="70"/>
      <c r="B105" s="69" t="s">
        <v>299</v>
      </c>
      <c r="C105" s="60">
        <v>0</v>
      </c>
      <c r="D105" s="48">
        <f>C105*y*o</f>
        <v>0</v>
      </c>
      <c r="E105" s="48"/>
      <c r="F105" s="48"/>
      <c r="G105" s="48">
        <f>D105</f>
        <v>0</v>
      </c>
      <c r="H105" s="63"/>
      <c r="I105" s="56"/>
      <c r="J105" s="56"/>
      <c r="K105" s="56"/>
      <c r="L105" s="56"/>
      <c r="M105" s="55"/>
    </row>
    <row r="106" spans="1:13" s="107" customFormat="1" ht="12.75" customHeight="1" x14ac:dyDescent="0.25">
      <c r="A106" s="156" t="s">
        <v>386</v>
      </c>
      <c r="B106" s="102" t="s">
        <v>387</v>
      </c>
      <c r="C106" s="101">
        <f>50*0</f>
        <v>0</v>
      </c>
      <c r="D106" s="103">
        <f t="shared" ref="D106:D112" si="10">C106*y</f>
        <v>0</v>
      </c>
      <c r="E106" s="103"/>
      <c r="F106" s="103">
        <f t="shared" ref="F106:F112" si="11">D106</f>
        <v>0</v>
      </c>
      <c r="G106" s="103"/>
      <c r="H106" s="104"/>
      <c r="I106" s="105"/>
      <c r="J106" s="105"/>
      <c r="K106" s="105"/>
      <c r="L106" s="105"/>
      <c r="M106" s="106"/>
    </row>
    <row r="107" spans="1:13" s="107" customFormat="1" x14ac:dyDescent="0.25">
      <c r="A107" s="156"/>
      <c r="B107" s="102" t="s">
        <v>388</v>
      </c>
      <c r="C107" s="101">
        <f>50*0</f>
        <v>0</v>
      </c>
      <c r="D107" s="103">
        <f t="shared" si="10"/>
        <v>0</v>
      </c>
      <c r="E107" s="103"/>
      <c r="F107" s="103">
        <f t="shared" si="11"/>
        <v>0</v>
      </c>
      <c r="G107" s="103"/>
      <c r="H107" s="104"/>
      <c r="I107" s="105"/>
      <c r="J107" s="105"/>
      <c r="K107" s="105"/>
      <c r="L107" s="105"/>
      <c r="M107" s="106"/>
    </row>
    <row r="108" spans="1:13" s="107" customFormat="1" x14ac:dyDescent="0.25">
      <c r="A108" s="108"/>
      <c r="B108" s="102" t="s">
        <v>389</v>
      </c>
      <c r="C108" s="101">
        <f>300*0</f>
        <v>0</v>
      </c>
      <c r="D108" s="103">
        <f t="shared" si="10"/>
        <v>0</v>
      </c>
      <c r="E108" s="103"/>
      <c r="F108" s="103">
        <f t="shared" si="11"/>
        <v>0</v>
      </c>
      <c r="G108" s="103"/>
      <c r="H108" s="104"/>
      <c r="I108" s="105"/>
      <c r="J108" s="105"/>
      <c r="K108" s="105"/>
      <c r="L108" s="105"/>
      <c r="M108" s="106"/>
    </row>
    <row r="109" spans="1:13" s="107" customFormat="1" x14ac:dyDescent="0.25">
      <c r="A109" s="108"/>
      <c r="B109" s="102" t="s">
        <v>390</v>
      </c>
      <c r="C109" s="101">
        <f>24*0</f>
        <v>0</v>
      </c>
      <c r="D109" s="103">
        <f t="shared" si="10"/>
        <v>0</v>
      </c>
      <c r="E109" s="103"/>
      <c r="F109" s="103">
        <f t="shared" si="11"/>
        <v>0</v>
      </c>
      <c r="G109" s="103"/>
      <c r="H109" s="104"/>
      <c r="I109" s="105"/>
      <c r="J109" s="105"/>
      <c r="K109" s="105"/>
      <c r="L109" s="105"/>
      <c r="M109" s="106"/>
    </row>
    <row r="110" spans="1:13" x14ac:dyDescent="0.25">
      <c r="A110" s="66" t="s">
        <v>316</v>
      </c>
      <c r="B110" s="65" t="s">
        <v>391</v>
      </c>
      <c r="C110" s="60">
        <f>155*0</f>
        <v>0</v>
      </c>
      <c r="D110" s="48">
        <f t="shared" si="10"/>
        <v>0</v>
      </c>
      <c r="E110" s="48"/>
      <c r="F110" s="48">
        <f t="shared" si="11"/>
        <v>0</v>
      </c>
      <c r="G110" s="48"/>
      <c r="H110" s="63"/>
      <c r="I110" s="56"/>
      <c r="J110" s="56"/>
      <c r="K110" s="56"/>
      <c r="L110" s="56"/>
      <c r="M110" s="55"/>
    </row>
    <row r="111" spans="1:13" ht="25" x14ac:dyDescent="0.25">
      <c r="A111" s="64" t="s">
        <v>392</v>
      </c>
      <c r="B111" s="62" t="s">
        <v>393</v>
      </c>
      <c r="C111" s="60">
        <f>140*0</f>
        <v>0</v>
      </c>
      <c r="D111" s="48">
        <f t="shared" si="10"/>
        <v>0</v>
      </c>
      <c r="E111" s="48"/>
      <c r="F111" s="48">
        <f t="shared" si="11"/>
        <v>0</v>
      </c>
      <c r="G111" s="48"/>
      <c r="H111" s="63"/>
      <c r="I111" s="56"/>
      <c r="J111" s="56"/>
      <c r="K111" s="56"/>
      <c r="L111" s="56"/>
      <c r="M111" s="55"/>
    </row>
    <row r="112" spans="1:13" ht="25" x14ac:dyDescent="0.25">
      <c r="A112" s="64" t="s">
        <v>392</v>
      </c>
      <c r="B112" s="62" t="s">
        <v>394</v>
      </c>
      <c r="C112" s="60">
        <f>140*0</f>
        <v>0</v>
      </c>
      <c r="D112" s="48">
        <f t="shared" si="10"/>
        <v>0</v>
      </c>
      <c r="E112" s="48"/>
      <c r="F112" s="48">
        <f t="shared" si="11"/>
        <v>0</v>
      </c>
      <c r="G112" s="48"/>
      <c r="H112" s="63"/>
      <c r="I112" s="56"/>
      <c r="J112" s="56"/>
      <c r="K112" s="56"/>
      <c r="L112" s="56"/>
      <c r="M112" s="55"/>
    </row>
    <row r="113" spans="1:14" x14ac:dyDescent="0.25">
      <c r="A113" s="62"/>
      <c r="B113" s="62" t="s">
        <v>395</v>
      </c>
      <c r="C113" s="60">
        <v>8</v>
      </c>
      <c r="D113" s="60">
        <f>C113*z*y</f>
        <v>512</v>
      </c>
      <c r="E113" s="48">
        <f>D113</f>
        <v>512</v>
      </c>
      <c r="F113" s="60"/>
      <c r="G113" s="60"/>
      <c r="H113" s="59"/>
      <c r="I113" s="56"/>
      <c r="J113" s="56"/>
      <c r="K113" s="56"/>
      <c r="L113" s="56"/>
      <c r="M113" s="55"/>
    </row>
    <row r="114" spans="1:14" ht="25" x14ac:dyDescent="0.25">
      <c r="A114" s="61" t="s">
        <v>396</v>
      </c>
      <c r="B114" s="61" t="s">
        <v>397</v>
      </c>
      <c r="C114" s="60">
        <f>48*0</f>
        <v>0</v>
      </c>
      <c r="D114" s="60">
        <f>IF(v=1,48*y,0*y)</f>
        <v>0</v>
      </c>
      <c r="E114" s="48">
        <f>D114</f>
        <v>0</v>
      </c>
      <c r="F114" s="60"/>
      <c r="G114" s="60"/>
      <c r="H114" s="59"/>
      <c r="I114" s="56"/>
      <c r="J114" s="56"/>
      <c r="K114" s="56"/>
      <c r="L114" s="56"/>
      <c r="M114" s="55"/>
    </row>
    <row r="115" spans="1:14" ht="37.5" x14ac:dyDescent="0.25">
      <c r="A115" s="61" t="s">
        <v>398</v>
      </c>
      <c r="B115" s="61" t="s">
        <v>397</v>
      </c>
      <c r="C115" s="60">
        <f>48*0</f>
        <v>0</v>
      </c>
      <c r="D115" s="60">
        <f>IF(v=1,48*y,0*y)</f>
        <v>0</v>
      </c>
      <c r="E115" s="48">
        <f>D115</f>
        <v>0</v>
      </c>
      <c r="F115" s="60"/>
      <c r="G115" s="60"/>
      <c r="H115" s="59"/>
      <c r="I115" s="56"/>
      <c r="J115" s="56"/>
      <c r="K115" s="56"/>
      <c r="L115" s="56"/>
      <c r="M115" s="55"/>
    </row>
    <row r="116" spans="1:14" x14ac:dyDescent="0.25">
      <c r="A116" s="55"/>
      <c r="B116" s="55"/>
      <c r="C116" s="58"/>
      <c r="D116" s="58"/>
      <c r="E116" s="58"/>
      <c r="F116" s="58"/>
      <c r="G116" s="58"/>
      <c r="H116" s="57"/>
      <c r="I116" s="56"/>
      <c r="J116" s="56"/>
      <c r="K116" s="56"/>
      <c r="L116" s="56"/>
      <c r="M116" s="55"/>
    </row>
    <row r="117" spans="1:14" ht="13" x14ac:dyDescent="0.3">
      <c r="A117" s="49" t="s">
        <v>197</v>
      </c>
      <c r="D117" s="54"/>
      <c r="E117" s="54">
        <f>SUM(E2:E115)</f>
        <v>1730.4</v>
      </c>
      <c r="F117" s="54">
        <f>SUM(F2:F115)</f>
        <v>4369.6000000000004</v>
      </c>
      <c r="G117" s="54">
        <f>SUM(G2:G115)</f>
        <v>696</v>
      </c>
      <c r="H117" s="53"/>
      <c r="I117" s="52"/>
      <c r="J117" s="52"/>
      <c r="K117" s="52"/>
      <c r="L117" s="52"/>
      <c r="M117" s="51"/>
      <c r="N117" s="50"/>
    </row>
    <row r="118" spans="1:14" ht="13" x14ac:dyDescent="0.3">
      <c r="M118" s="49"/>
    </row>
    <row r="119" spans="1:14" x14ac:dyDescent="0.25">
      <c r="A119" s="43" t="s">
        <v>399</v>
      </c>
      <c r="B119" s="43" t="s">
        <v>400</v>
      </c>
      <c r="C119" s="46">
        <f>SUM(E2:E15)</f>
        <v>66.400000000000006</v>
      </c>
      <c r="N119" s="47"/>
    </row>
    <row r="120" spans="1:14" x14ac:dyDescent="0.25">
      <c r="B120" s="43" t="s">
        <v>401</v>
      </c>
      <c r="C120" s="46">
        <f>SUM(E16:E27)</f>
        <v>230.4</v>
      </c>
    </row>
    <row r="121" spans="1:14" x14ac:dyDescent="0.25">
      <c r="B121" s="43" t="s">
        <v>402</v>
      </c>
      <c r="C121" s="46">
        <f>SUM(E28)</f>
        <v>64</v>
      </c>
    </row>
    <row r="122" spans="1:14" x14ac:dyDescent="0.25">
      <c r="B122" s="43" t="s">
        <v>403</v>
      </c>
      <c r="C122" s="46">
        <f>SUM(E29:E31)</f>
        <v>40</v>
      </c>
    </row>
    <row r="123" spans="1:14" x14ac:dyDescent="0.25">
      <c r="B123" s="43" t="s">
        <v>404</v>
      </c>
      <c r="C123" s="46">
        <f>SUM(E32:E51)</f>
        <v>20.8</v>
      </c>
    </row>
    <row r="124" spans="1:14" x14ac:dyDescent="0.25">
      <c r="B124" s="43" t="s">
        <v>405</v>
      </c>
      <c r="C124" s="46">
        <f>SUM(E52:E58)</f>
        <v>48</v>
      </c>
    </row>
    <row r="125" spans="1:14" x14ac:dyDescent="0.25">
      <c r="B125" s="43" t="s">
        <v>406</v>
      </c>
      <c r="C125" s="46">
        <f>SUM(E59:E60)</f>
        <v>20.8</v>
      </c>
    </row>
    <row r="126" spans="1:14" x14ac:dyDescent="0.25">
      <c r="B126" s="43" t="s">
        <v>407</v>
      </c>
      <c r="C126" s="46">
        <f>SUM(E61:E68)</f>
        <v>184</v>
      </c>
    </row>
    <row r="127" spans="1:14" x14ac:dyDescent="0.25">
      <c r="B127" s="43" t="s">
        <v>408</v>
      </c>
      <c r="C127" s="46">
        <f>SUM(E69:E71)</f>
        <v>8</v>
      </c>
    </row>
    <row r="128" spans="1:14" x14ac:dyDescent="0.25">
      <c r="B128" s="43" t="s">
        <v>409</v>
      </c>
      <c r="C128" s="46">
        <f>SUM(E72:E80)+SUM(E91:E105)</f>
        <v>272</v>
      </c>
    </row>
    <row r="129" spans="1:3" x14ac:dyDescent="0.25">
      <c r="B129" s="43" t="s">
        <v>410</v>
      </c>
      <c r="C129" s="46">
        <f>SUM(E81:E90)</f>
        <v>264</v>
      </c>
    </row>
    <row r="130" spans="1:3" x14ac:dyDescent="0.25">
      <c r="B130" s="43" t="s">
        <v>411</v>
      </c>
      <c r="C130" s="46">
        <f>SUM(E113)</f>
        <v>512</v>
      </c>
    </row>
    <row r="132" spans="1:3" x14ac:dyDescent="0.25">
      <c r="A132" s="43" t="s">
        <v>412</v>
      </c>
      <c r="B132" s="43" t="s">
        <v>413</v>
      </c>
      <c r="C132" s="46">
        <f>SUM(F32:F42)</f>
        <v>1497.6</v>
      </c>
    </row>
    <row r="133" spans="1:3" x14ac:dyDescent="0.25">
      <c r="B133" s="43" t="s">
        <v>404</v>
      </c>
      <c r="C133" s="46">
        <f>SUM(F43:F50)</f>
        <v>1240</v>
      </c>
    </row>
    <row r="134" spans="1:3" x14ac:dyDescent="0.25">
      <c r="B134" s="43" t="s">
        <v>414</v>
      </c>
      <c r="C134" s="46">
        <f>SUM(F55)</f>
        <v>1536</v>
      </c>
    </row>
    <row r="135" spans="1:3" x14ac:dyDescent="0.25">
      <c r="B135" s="43" t="s">
        <v>415</v>
      </c>
      <c r="C135" s="46">
        <f>SUM(F53)</f>
        <v>96</v>
      </c>
    </row>
    <row r="137" spans="1:3" x14ac:dyDescent="0.25">
      <c r="A137" s="43" t="s">
        <v>416</v>
      </c>
      <c r="B137" s="43" t="s">
        <v>400</v>
      </c>
      <c r="C137" s="46">
        <f>SUM(G15)</f>
        <v>32</v>
      </c>
    </row>
    <row r="138" spans="1:3" x14ac:dyDescent="0.25">
      <c r="B138" s="43" t="s">
        <v>401</v>
      </c>
      <c r="C138" s="46">
        <f>SUM(G27)</f>
        <v>140</v>
      </c>
    </row>
    <row r="139" spans="1:3" x14ac:dyDescent="0.25">
      <c r="B139" s="43" t="s">
        <v>404</v>
      </c>
      <c r="C139" s="46">
        <f>SUM(G54)</f>
        <v>384</v>
      </c>
    </row>
    <row r="140" spans="1:3" x14ac:dyDescent="0.25">
      <c r="B140" s="43" t="s">
        <v>406</v>
      </c>
      <c r="C140" s="46">
        <f>SUM(G60)</f>
        <v>4</v>
      </c>
    </row>
    <row r="141" spans="1:3" x14ac:dyDescent="0.25">
      <c r="B141" s="43" t="s">
        <v>407</v>
      </c>
      <c r="C141" s="46">
        <f>SUM(G68)</f>
        <v>32</v>
      </c>
    </row>
    <row r="142" spans="1:3" x14ac:dyDescent="0.25">
      <c r="B142" s="43" t="s">
        <v>409</v>
      </c>
      <c r="C142" s="46">
        <f>G80+G95</f>
        <v>72</v>
      </c>
    </row>
    <row r="143" spans="1:3" x14ac:dyDescent="0.25">
      <c r="B143" s="43" t="s">
        <v>410</v>
      </c>
      <c r="C143" s="46">
        <f>G90</f>
        <v>32</v>
      </c>
    </row>
  </sheetData>
  <mergeCells count="8">
    <mergeCell ref="A101:A103"/>
    <mergeCell ref="A106:A107"/>
    <mergeCell ref="A59:A60"/>
    <mergeCell ref="A32:A33"/>
    <mergeCell ref="A2:A3"/>
    <mergeCell ref="A72:A73"/>
    <mergeCell ref="A91:A93"/>
    <mergeCell ref="A96:A98"/>
  </mergeCells>
  <pageMargins left="0.7" right="0.7" top="0.75" bottom="0.75" header="0.3" footer="0.3"/>
  <pageSetup paperSize="9" orientation="portrait" verticalDpi="1200" r:id="rId1"/>
  <headerFooter>
    <oddFooter>&amp;LUnrestricted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3"/>
  <sheetViews>
    <sheetView zoomScale="60" zoomScaleNormal="60" workbookViewId="0">
      <pane ySplit="1" topLeftCell="A2" activePane="bottomLeft" state="frozen"/>
      <selection activeCell="G12" sqref="G12"/>
      <selection pane="bottomLeft" activeCell="B124" sqref="B124"/>
    </sheetView>
  </sheetViews>
  <sheetFormatPr defaultColWidth="8.81640625" defaultRowHeight="12.5" x14ac:dyDescent="0.25"/>
  <cols>
    <col min="1" max="1" width="23" style="43" customWidth="1"/>
    <col min="2" max="2" width="57.453125" style="43" bestFit="1" customWidth="1"/>
    <col min="3" max="3" width="12.1796875" style="46" customWidth="1"/>
    <col min="4" max="5" width="15.1796875" style="46" bestFit="1" customWidth="1"/>
    <col min="6" max="7" width="15.1796875" style="46" customWidth="1"/>
    <col min="8" max="8" width="40.453125" style="45" customWidth="1"/>
    <col min="9" max="12" width="12.54296875" style="44" customWidth="1"/>
    <col min="13" max="13" width="24.54296875" style="43" customWidth="1"/>
    <col min="14" max="14" width="11.1796875" style="21" bestFit="1" customWidth="1"/>
    <col min="15" max="16384" width="8.81640625" style="21"/>
  </cols>
  <sheetData>
    <row r="1" spans="1:14" s="43" customFormat="1" ht="13" x14ac:dyDescent="0.25">
      <c r="A1" s="93" t="s">
        <v>106</v>
      </c>
      <c r="B1" s="93"/>
      <c r="C1" s="93" t="s">
        <v>274</v>
      </c>
      <c r="D1" s="93" t="s">
        <v>275</v>
      </c>
      <c r="E1" s="93" t="s">
        <v>276</v>
      </c>
      <c r="F1" s="93" t="s">
        <v>277</v>
      </c>
      <c r="G1" s="93" t="s">
        <v>278</v>
      </c>
      <c r="H1" s="93" t="s">
        <v>3</v>
      </c>
      <c r="I1" s="92"/>
      <c r="J1" s="92"/>
      <c r="K1" s="92"/>
      <c r="L1" s="92"/>
      <c r="M1" s="92"/>
      <c r="N1" s="92"/>
    </row>
    <row r="2" spans="1:14" ht="12.75" customHeight="1" x14ac:dyDescent="0.25">
      <c r="A2" s="157" t="s">
        <v>279</v>
      </c>
      <c r="B2" s="91" t="s">
        <v>280</v>
      </c>
      <c r="C2" s="48">
        <v>1</v>
      </c>
      <c r="D2" s="48">
        <f t="shared" ref="D2:D23" si="0">C2*yy</f>
        <v>4</v>
      </c>
      <c r="E2" s="48">
        <f t="shared" ref="E2:E14" si="1">D2</f>
        <v>4</v>
      </c>
      <c r="F2" s="48"/>
      <c r="G2" s="48"/>
      <c r="H2" s="63" t="s">
        <v>281</v>
      </c>
      <c r="I2" s="56"/>
      <c r="J2" s="56"/>
      <c r="K2" s="56"/>
      <c r="L2" s="56"/>
    </row>
    <row r="3" spans="1:14" x14ac:dyDescent="0.25">
      <c r="A3" s="157"/>
      <c r="B3" s="91" t="s">
        <v>282</v>
      </c>
      <c r="C3" s="48">
        <v>1</v>
      </c>
      <c r="D3" s="48">
        <f t="shared" si="0"/>
        <v>4</v>
      </c>
      <c r="E3" s="48">
        <f t="shared" si="1"/>
        <v>4</v>
      </c>
      <c r="F3" s="48"/>
      <c r="G3" s="48"/>
      <c r="H3" s="63"/>
      <c r="I3" s="56"/>
      <c r="J3" s="56"/>
      <c r="K3" s="56"/>
      <c r="L3" s="56"/>
    </row>
    <row r="4" spans="1:14" x14ac:dyDescent="0.25">
      <c r="A4" s="89"/>
      <c r="B4" s="91" t="s">
        <v>283</v>
      </c>
      <c r="C4" s="48">
        <v>1</v>
      </c>
      <c r="D4" s="48">
        <f t="shared" si="0"/>
        <v>4</v>
      </c>
      <c r="E4" s="48">
        <f t="shared" si="1"/>
        <v>4</v>
      </c>
      <c r="F4" s="48"/>
      <c r="G4" s="48"/>
      <c r="H4" s="63"/>
      <c r="I4" s="56"/>
      <c r="J4" s="56"/>
      <c r="K4" s="56"/>
      <c r="L4" s="56"/>
    </row>
    <row r="5" spans="1:14" x14ac:dyDescent="0.25">
      <c r="A5" s="89"/>
      <c r="B5" s="76" t="s">
        <v>284</v>
      </c>
      <c r="C5" s="60">
        <v>1</v>
      </c>
      <c r="D5" s="48">
        <f t="shared" si="0"/>
        <v>4</v>
      </c>
      <c r="E5" s="48">
        <f t="shared" si="1"/>
        <v>4</v>
      </c>
      <c r="F5" s="48"/>
      <c r="G5" s="48"/>
      <c r="H5" s="63"/>
      <c r="I5" s="56"/>
      <c r="J5" s="56"/>
      <c r="K5" s="56"/>
      <c r="L5" s="56"/>
      <c r="M5" s="55"/>
    </row>
    <row r="6" spans="1:14" x14ac:dyDescent="0.25">
      <c r="A6" s="89"/>
      <c r="B6" s="76" t="s">
        <v>285</v>
      </c>
      <c r="C6" s="60">
        <v>1</v>
      </c>
      <c r="D6" s="48">
        <f t="shared" si="0"/>
        <v>4</v>
      </c>
      <c r="E6" s="48">
        <f t="shared" si="1"/>
        <v>4</v>
      </c>
      <c r="F6" s="48"/>
      <c r="G6" s="48"/>
      <c r="H6" s="63"/>
      <c r="I6" s="56"/>
      <c r="J6" s="56"/>
      <c r="K6" s="56"/>
      <c r="L6" s="56"/>
      <c r="M6" s="55"/>
    </row>
    <row r="7" spans="1:14" x14ac:dyDescent="0.25">
      <c r="A7" s="89"/>
      <c r="B7" s="76" t="s">
        <v>286</v>
      </c>
      <c r="C7" s="60">
        <v>0</v>
      </c>
      <c r="D7" s="48">
        <f t="shared" si="0"/>
        <v>0</v>
      </c>
      <c r="E7" s="48">
        <f t="shared" si="1"/>
        <v>0</v>
      </c>
      <c r="F7" s="48"/>
      <c r="G7" s="48"/>
      <c r="H7" s="63" t="s">
        <v>287</v>
      </c>
      <c r="I7" s="56"/>
      <c r="J7" s="56"/>
      <c r="K7" s="56"/>
      <c r="L7" s="56"/>
      <c r="M7" s="55"/>
    </row>
    <row r="8" spans="1:14" x14ac:dyDescent="0.25">
      <c r="A8" s="89"/>
      <c r="B8" s="76" t="s">
        <v>288</v>
      </c>
      <c r="C8" s="60">
        <v>2</v>
      </c>
      <c r="D8" s="48">
        <f t="shared" si="0"/>
        <v>8</v>
      </c>
      <c r="E8" s="48">
        <f t="shared" si="1"/>
        <v>8</v>
      </c>
      <c r="F8" s="48"/>
      <c r="G8" s="48"/>
      <c r="H8" s="63" t="s">
        <v>289</v>
      </c>
      <c r="I8" s="56"/>
      <c r="J8" s="56"/>
      <c r="K8" s="56"/>
      <c r="L8" s="56"/>
      <c r="M8" s="55"/>
    </row>
    <row r="9" spans="1:14" x14ac:dyDescent="0.25">
      <c r="A9" s="89"/>
      <c r="B9" s="76" t="s">
        <v>290</v>
      </c>
      <c r="C9" s="60">
        <v>2</v>
      </c>
      <c r="D9" s="48">
        <f t="shared" si="0"/>
        <v>8</v>
      </c>
      <c r="E9" s="48">
        <f t="shared" si="1"/>
        <v>8</v>
      </c>
      <c r="F9" s="48"/>
      <c r="G9" s="48"/>
      <c r="H9" s="63" t="s">
        <v>291</v>
      </c>
      <c r="I9" s="56"/>
      <c r="J9" s="56"/>
      <c r="K9" s="56"/>
      <c r="L9" s="56"/>
      <c r="M9" s="55"/>
    </row>
    <row r="10" spans="1:14" x14ac:dyDescent="0.25">
      <c r="A10" s="89"/>
      <c r="B10" s="76" t="s">
        <v>292</v>
      </c>
      <c r="C10" s="109">
        <v>2</v>
      </c>
      <c r="D10" s="48">
        <f>C10*yy*jj</f>
        <v>10.4</v>
      </c>
      <c r="E10" s="48">
        <f t="shared" si="1"/>
        <v>10.4</v>
      </c>
      <c r="F10" s="48"/>
      <c r="G10" s="48"/>
      <c r="H10" s="63"/>
      <c r="I10" s="56"/>
      <c r="J10" s="56"/>
      <c r="K10" s="56"/>
      <c r="L10" s="56"/>
      <c r="M10" s="55"/>
    </row>
    <row r="11" spans="1:14" x14ac:dyDescent="0.25">
      <c r="A11" s="89"/>
      <c r="B11" s="76" t="s">
        <v>293</v>
      </c>
      <c r="C11" s="60">
        <v>2</v>
      </c>
      <c r="D11" s="48">
        <f t="shared" si="0"/>
        <v>8</v>
      </c>
      <c r="E11" s="48">
        <f t="shared" si="1"/>
        <v>8</v>
      </c>
      <c r="F11" s="48"/>
      <c r="G11" s="48"/>
      <c r="H11" s="63"/>
      <c r="I11" s="56"/>
      <c r="J11" s="56"/>
      <c r="K11" s="56"/>
      <c r="L11" s="56"/>
      <c r="M11" s="55"/>
    </row>
    <row r="12" spans="1:14" x14ac:dyDescent="0.25">
      <c r="A12" s="89"/>
      <c r="B12" s="76" t="s">
        <v>294</v>
      </c>
      <c r="C12" s="60">
        <v>0</v>
      </c>
      <c r="D12" s="48">
        <f t="shared" si="0"/>
        <v>0</v>
      </c>
      <c r="E12" s="48">
        <f t="shared" si="1"/>
        <v>0</v>
      </c>
      <c r="F12" s="48"/>
      <c r="G12" s="48"/>
      <c r="H12" s="63" t="s">
        <v>295</v>
      </c>
      <c r="I12" s="56"/>
      <c r="J12" s="56"/>
      <c r="K12" s="56"/>
      <c r="L12" s="56"/>
      <c r="M12" s="55"/>
    </row>
    <row r="13" spans="1:14" x14ac:dyDescent="0.25">
      <c r="A13" s="89"/>
      <c r="B13" s="76" t="s">
        <v>296</v>
      </c>
      <c r="C13" s="60">
        <v>0</v>
      </c>
      <c r="D13" s="48">
        <f t="shared" si="0"/>
        <v>0</v>
      </c>
      <c r="E13" s="48">
        <f t="shared" si="1"/>
        <v>0</v>
      </c>
      <c r="F13" s="48"/>
      <c r="G13" s="48"/>
      <c r="H13" s="63" t="s">
        <v>295</v>
      </c>
      <c r="I13" s="56"/>
      <c r="J13" s="56"/>
      <c r="K13" s="56"/>
      <c r="L13" s="56"/>
      <c r="M13" s="55"/>
    </row>
    <row r="14" spans="1:14" ht="13" x14ac:dyDescent="0.3">
      <c r="A14" s="90"/>
      <c r="B14" s="76" t="s">
        <v>297</v>
      </c>
      <c r="C14" s="60">
        <v>3</v>
      </c>
      <c r="D14" s="48">
        <f t="shared" si="0"/>
        <v>12</v>
      </c>
      <c r="E14" s="48">
        <f t="shared" si="1"/>
        <v>12</v>
      </c>
      <c r="F14" s="48"/>
      <c r="G14" s="48"/>
      <c r="H14" s="63" t="s">
        <v>298</v>
      </c>
      <c r="I14" s="56"/>
      <c r="J14" s="56"/>
      <c r="K14" s="56"/>
      <c r="L14" s="56"/>
      <c r="M14" s="55"/>
    </row>
    <row r="15" spans="1:14" x14ac:dyDescent="0.25">
      <c r="A15" s="89"/>
      <c r="B15" s="88" t="s">
        <v>299</v>
      </c>
      <c r="C15" s="60">
        <v>8</v>
      </c>
      <c r="D15" s="48">
        <f t="shared" si="0"/>
        <v>32</v>
      </c>
      <c r="E15" s="48"/>
      <c r="F15" s="48"/>
      <c r="G15" s="48">
        <f>D15</f>
        <v>32</v>
      </c>
      <c r="H15" s="63"/>
      <c r="I15" s="56"/>
      <c r="J15" s="56"/>
      <c r="K15" s="56"/>
      <c r="L15" s="56"/>
      <c r="M15" s="55"/>
    </row>
    <row r="16" spans="1:14" x14ac:dyDescent="0.25">
      <c r="A16" s="68" t="s">
        <v>300</v>
      </c>
      <c r="B16" s="74" t="s">
        <v>301</v>
      </c>
      <c r="C16" s="60">
        <v>2</v>
      </c>
      <c r="D16" s="48">
        <f t="shared" si="0"/>
        <v>8</v>
      </c>
      <c r="E16" s="48">
        <f t="shared" ref="E16:E26" si="2">D16</f>
        <v>8</v>
      </c>
      <c r="F16" s="48"/>
      <c r="G16" s="48"/>
      <c r="H16" s="63" t="s">
        <v>289</v>
      </c>
      <c r="I16" s="56"/>
      <c r="J16" s="56"/>
      <c r="K16" s="56"/>
      <c r="L16" s="56"/>
      <c r="M16" s="55"/>
    </row>
    <row r="17" spans="1:13" x14ac:dyDescent="0.25">
      <c r="A17" s="68"/>
      <c r="B17" s="74" t="s">
        <v>302</v>
      </c>
      <c r="C17" s="60">
        <v>2</v>
      </c>
      <c r="D17" s="48">
        <f t="shared" si="0"/>
        <v>8</v>
      </c>
      <c r="E17" s="48">
        <f t="shared" si="2"/>
        <v>8</v>
      </c>
      <c r="F17" s="48"/>
      <c r="G17" s="48"/>
      <c r="H17" s="63" t="s">
        <v>289</v>
      </c>
      <c r="I17" s="56"/>
      <c r="J17" s="56"/>
      <c r="K17" s="56"/>
      <c r="L17" s="56"/>
      <c r="M17" s="55"/>
    </row>
    <row r="18" spans="1:13" ht="13" x14ac:dyDescent="0.3">
      <c r="A18" s="87"/>
      <c r="B18" s="74" t="s">
        <v>303</v>
      </c>
      <c r="C18" s="60">
        <v>0</v>
      </c>
      <c r="D18" s="48">
        <f t="shared" si="0"/>
        <v>0</v>
      </c>
      <c r="E18" s="48">
        <f t="shared" si="2"/>
        <v>0</v>
      </c>
      <c r="F18" s="48"/>
      <c r="G18" s="48"/>
      <c r="H18" s="63" t="s">
        <v>289</v>
      </c>
      <c r="I18" s="56"/>
      <c r="J18" s="56"/>
      <c r="K18" s="56"/>
      <c r="L18" s="56"/>
      <c r="M18" s="55"/>
    </row>
    <row r="19" spans="1:13" x14ac:dyDescent="0.25">
      <c r="A19" s="68"/>
      <c r="B19" s="74" t="s">
        <v>305</v>
      </c>
      <c r="C19" s="60">
        <v>0</v>
      </c>
      <c r="D19" s="48">
        <f t="shared" si="0"/>
        <v>0</v>
      </c>
      <c r="E19" s="48">
        <f t="shared" si="2"/>
        <v>0</v>
      </c>
      <c r="F19" s="48"/>
      <c r="G19" s="48"/>
      <c r="H19" s="63" t="s">
        <v>306</v>
      </c>
      <c r="I19" s="56"/>
      <c r="J19" s="56"/>
      <c r="K19" s="56"/>
      <c r="L19" s="56"/>
      <c r="M19" s="55"/>
    </row>
    <row r="20" spans="1:13" x14ac:dyDescent="0.25">
      <c r="A20" s="68"/>
      <c r="B20" s="74" t="s">
        <v>307</v>
      </c>
      <c r="C20" s="60">
        <v>4</v>
      </c>
      <c r="D20" s="48">
        <f t="shared" si="0"/>
        <v>16</v>
      </c>
      <c r="E20" s="48">
        <f t="shared" si="2"/>
        <v>16</v>
      </c>
      <c r="F20" s="48"/>
      <c r="G20" s="48"/>
      <c r="H20" s="63"/>
      <c r="I20" s="56"/>
      <c r="J20" s="56"/>
      <c r="K20" s="56"/>
      <c r="L20" s="56"/>
      <c r="M20" s="55"/>
    </row>
    <row r="21" spans="1:13" x14ac:dyDescent="0.25">
      <c r="A21" s="68"/>
      <c r="B21" s="74" t="s">
        <v>308</v>
      </c>
      <c r="C21" s="60">
        <v>12</v>
      </c>
      <c r="D21" s="48">
        <f t="shared" si="0"/>
        <v>48</v>
      </c>
      <c r="E21" s="48">
        <f t="shared" si="2"/>
        <v>48</v>
      </c>
      <c r="F21" s="48"/>
      <c r="G21" s="48"/>
      <c r="H21" s="63"/>
      <c r="I21" s="56"/>
      <c r="J21" s="56"/>
      <c r="K21" s="56"/>
      <c r="L21" s="56"/>
      <c r="M21" s="55"/>
    </row>
    <row r="22" spans="1:13" x14ac:dyDescent="0.25">
      <c r="A22" s="68"/>
      <c r="B22" s="74" t="s">
        <v>309</v>
      </c>
      <c r="C22" s="60">
        <v>2</v>
      </c>
      <c r="D22" s="48">
        <f t="shared" si="0"/>
        <v>8</v>
      </c>
      <c r="E22" s="48">
        <f t="shared" si="2"/>
        <v>8</v>
      </c>
      <c r="F22" s="48"/>
      <c r="G22" s="48"/>
      <c r="H22" s="63"/>
      <c r="I22" s="56"/>
      <c r="J22" s="56"/>
      <c r="K22" s="56"/>
      <c r="L22" s="56"/>
      <c r="M22" s="55"/>
    </row>
    <row r="23" spans="1:13" x14ac:dyDescent="0.25">
      <c r="A23" s="68"/>
      <c r="B23" s="74" t="s">
        <v>310</v>
      </c>
      <c r="C23" s="60">
        <v>0</v>
      </c>
      <c r="D23" s="48">
        <f t="shared" si="0"/>
        <v>0</v>
      </c>
      <c r="E23" s="48">
        <f t="shared" si="2"/>
        <v>0</v>
      </c>
      <c r="F23" s="48"/>
      <c r="G23" s="48"/>
      <c r="H23" s="63" t="s">
        <v>311</v>
      </c>
      <c r="I23" s="56"/>
      <c r="J23" s="56"/>
      <c r="K23" s="56"/>
      <c r="L23" s="56"/>
      <c r="M23" s="55"/>
    </row>
    <row r="24" spans="1:13" x14ac:dyDescent="0.25">
      <c r="A24" s="68"/>
      <c r="B24" s="74" t="s">
        <v>312</v>
      </c>
      <c r="C24" s="109">
        <v>8</v>
      </c>
      <c r="D24" s="60">
        <f>C24*ww*jj</f>
        <v>10.4</v>
      </c>
      <c r="E24" s="48">
        <f t="shared" si="2"/>
        <v>10.4</v>
      </c>
      <c r="F24" s="60"/>
      <c r="G24" s="60"/>
      <c r="H24" s="59"/>
      <c r="I24" s="56"/>
      <c r="J24" s="56"/>
      <c r="K24" s="56"/>
      <c r="L24" s="56"/>
      <c r="M24" s="55"/>
    </row>
    <row r="25" spans="1:13" ht="13" x14ac:dyDescent="0.3">
      <c r="A25" s="87"/>
      <c r="B25" s="74" t="s">
        <v>313</v>
      </c>
      <c r="C25" s="60">
        <v>12</v>
      </c>
      <c r="D25" s="48">
        <f t="shared" ref="D25:D33" si="3">C25*yy</f>
        <v>48</v>
      </c>
      <c r="E25" s="48">
        <f t="shared" si="2"/>
        <v>48</v>
      </c>
      <c r="F25" s="48"/>
      <c r="G25" s="48"/>
      <c r="H25" s="63"/>
      <c r="I25" s="56"/>
      <c r="J25" s="56"/>
      <c r="K25" s="56"/>
      <c r="L25" s="56"/>
      <c r="M25" s="55"/>
    </row>
    <row r="26" spans="1:13" x14ac:dyDescent="0.25">
      <c r="A26" s="68"/>
      <c r="B26" s="74" t="s">
        <v>314</v>
      </c>
      <c r="C26" s="60">
        <v>8</v>
      </c>
      <c r="D26" s="48">
        <f t="shared" si="3"/>
        <v>32</v>
      </c>
      <c r="E26" s="48">
        <f t="shared" si="2"/>
        <v>32</v>
      </c>
      <c r="F26" s="48"/>
      <c r="G26" s="48"/>
      <c r="H26" s="63"/>
      <c r="I26" s="56"/>
      <c r="J26" s="56"/>
      <c r="K26" s="56"/>
      <c r="L26" s="56"/>
      <c r="M26" s="55"/>
    </row>
    <row r="27" spans="1:13" x14ac:dyDescent="0.25">
      <c r="A27" s="68"/>
      <c r="B27" s="74" t="s">
        <v>315</v>
      </c>
      <c r="C27" s="60">
        <v>35</v>
      </c>
      <c r="D27" s="48">
        <f t="shared" si="3"/>
        <v>140</v>
      </c>
      <c r="E27" s="48"/>
      <c r="F27" s="48"/>
      <c r="G27" s="48">
        <f>D27</f>
        <v>140</v>
      </c>
      <c r="H27" s="63"/>
      <c r="I27" s="56"/>
      <c r="J27" s="56"/>
      <c r="K27" s="56"/>
      <c r="L27" s="56"/>
      <c r="M27" s="55"/>
    </row>
    <row r="28" spans="1:13" x14ac:dyDescent="0.25">
      <c r="A28" s="66" t="s">
        <v>316</v>
      </c>
      <c r="B28" s="77" t="s">
        <v>317</v>
      </c>
      <c r="C28" s="60">
        <v>16</v>
      </c>
      <c r="D28" s="48">
        <f t="shared" si="3"/>
        <v>64</v>
      </c>
      <c r="E28" s="48">
        <f>D28</f>
        <v>64</v>
      </c>
      <c r="F28" s="48"/>
      <c r="G28" s="48"/>
      <c r="H28" s="63" t="s">
        <v>318</v>
      </c>
      <c r="I28" s="56"/>
      <c r="J28" s="56"/>
      <c r="K28" s="56"/>
      <c r="L28" s="56"/>
      <c r="M28" s="55"/>
    </row>
    <row r="29" spans="1:13" x14ac:dyDescent="0.25">
      <c r="A29" s="86" t="s">
        <v>319</v>
      </c>
      <c r="B29" s="85" t="s">
        <v>320</v>
      </c>
      <c r="C29" s="60">
        <v>8</v>
      </c>
      <c r="D29" s="48">
        <f t="shared" si="3"/>
        <v>32</v>
      </c>
      <c r="E29" s="48">
        <f>D29</f>
        <v>32</v>
      </c>
      <c r="F29" s="48"/>
      <c r="G29" s="48"/>
      <c r="H29" s="63"/>
      <c r="I29" s="56"/>
      <c r="J29" s="56"/>
      <c r="K29" s="56"/>
      <c r="L29" s="56"/>
      <c r="M29" s="55"/>
    </row>
    <row r="30" spans="1:13" x14ac:dyDescent="0.25">
      <c r="A30" s="86"/>
      <c r="B30" s="85" t="s">
        <v>321</v>
      </c>
      <c r="C30" s="60">
        <v>0</v>
      </c>
      <c r="D30" s="48">
        <f t="shared" si="3"/>
        <v>0</v>
      </c>
      <c r="E30" s="48">
        <f>D30</f>
        <v>0</v>
      </c>
      <c r="F30" s="48"/>
      <c r="G30" s="48"/>
      <c r="H30" s="63" t="s">
        <v>311</v>
      </c>
      <c r="I30" s="56"/>
      <c r="J30" s="56"/>
      <c r="K30" s="56"/>
      <c r="L30" s="56"/>
      <c r="M30" s="55"/>
    </row>
    <row r="31" spans="1:13" x14ac:dyDescent="0.25">
      <c r="A31" s="86"/>
      <c r="B31" s="85" t="s">
        <v>322</v>
      </c>
      <c r="C31" s="60">
        <v>2</v>
      </c>
      <c r="D31" s="48">
        <f t="shared" si="3"/>
        <v>8</v>
      </c>
      <c r="E31" s="48">
        <f>D31</f>
        <v>8</v>
      </c>
      <c r="F31" s="48"/>
      <c r="G31" s="48"/>
      <c r="H31" s="63" t="s">
        <v>417</v>
      </c>
      <c r="I31" s="56"/>
      <c r="J31" s="56"/>
      <c r="K31" s="56"/>
      <c r="L31" s="56"/>
      <c r="M31" s="55"/>
    </row>
    <row r="32" spans="1:13" ht="12.75" customHeight="1" x14ac:dyDescent="0.25">
      <c r="A32" s="158" t="s">
        <v>323</v>
      </c>
      <c r="B32" s="74" t="s">
        <v>324</v>
      </c>
      <c r="C32" s="60">
        <v>8</v>
      </c>
      <c r="D32" s="48">
        <f t="shared" si="3"/>
        <v>32</v>
      </c>
      <c r="E32" s="48"/>
      <c r="F32" s="48">
        <f t="shared" ref="F32:F50" si="4">D32</f>
        <v>32</v>
      </c>
      <c r="G32" s="48"/>
      <c r="H32" s="63"/>
      <c r="I32" s="56"/>
      <c r="J32" s="56"/>
      <c r="K32" s="56"/>
      <c r="L32" s="56"/>
      <c r="M32" s="55"/>
    </row>
    <row r="33" spans="1:14" x14ac:dyDescent="0.25">
      <c r="A33" s="158"/>
      <c r="B33" s="74" t="s">
        <v>325</v>
      </c>
      <c r="C33" s="60">
        <v>4</v>
      </c>
      <c r="D33" s="48">
        <f t="shared" si="3"/>
        <v>16</v>
      </c>
      <c r="E33" s="48"/>
      <c r="F33" s="48">
        <f t="shared" si="4"/>
        <v>16</v>
      </c>
      <c r="G33" s="48"/>
      <c r="H33" s="63"/>
      <c r="I33" s="56"/>
      <c r="J33" s="56"/>
      <c r="K33" s="56"/>
      <c r="L33" s="56"/>
      <c r="M33" s="55"/>
    </row>
    <row r="34" spans="1:14" x14ac:dyDescent="0.25">
      <c r="A34" s="68" t="s">
        <v>300</v>
      </c>
      <c r="B34" s="74" t="s">
        <v>326</v>
      </c>
      <c r="C34" s="109">
        <v>2</v>
      </c>
      <c r="D34" s="48">
        <f>C34*yy*jj</f>
        <v>10.4</v>
      </c>
      <c r="E34" s="48"/>
      <c r="F34" s="48">
        <f t="shared" si="4"/>
        <v>10.4</v>
      </c>
      <c r="G34" s="48"/>
      <c r="H34" s="63"/>
      <c r="I34" s="56"/>
      <c r="J34" s="56"/>
      <c r="K34" s="56"/>
      <c r="L34" s="56"/>
      <c r="M34" s="55"/>
    </row>
    <row r="35" spans="1:14" x14ac:dyDescent="0.25">
      <c r="A35" s="68"/>
      <c r="B35" s="74" t="s">
        <v>327</v>
      </c>
      <c r="C35" s="109">
        <v>16</v>
      </c>
      <c r="D35" s="48">
        <f>C35*yy*jj</f>
        <v>83.2</v>
      </c>
      <c r="E35" s="48"/>
      <c r="F35" s="48">
        <f t="shared" si="4"/>
        <v>83.2</v>
      </c>
      <c r="G35" s="48"/>
      <c r="H35" s="63"/>
      <c r="I35" s="56"/>
      <c r="J35" s="56"/>
      <c r="K35" s="56"/>
      <c r="L35" s="56"/>
      <c r="M35" s="55"/>
    </row>
    <row r="36" spans="1:14" x14ac:dyDescent="0.25">
      <c r="A36" s="68"/>
      <c r="B36" s="74" t="s">
        <v>418</v>
      </c>
      <c r="C36" s="109">
        <v>8</v>
      </c>
      <c r="D36" s="48">
        <f>C36*yy*jj</f>
        <v>41.6</v>
      </c>
      <c r="E36" s="48"/>
      <c r="F36" s="48">
        <f t="shared" si="4"/>
        <v>41.6</v>
      </c>
      <c r="G36" s="48"/>
      <c r="H36" s="63"/>
      <c r="I36" s="56"/>
      <c r="J36" s="56"/>
      <c r="K36" s="56"/>
      <c r="L36" s="56"/>
      <c r="M36" s="55"/>
    </row>
    <row r="37" spans="1:14" x14ac:dyDescent="0.25">
      <c r="A37" s="68"/>
      <c r="B37" s="74" t="s">
        <v>329</v>
      </c>
      <c r="C37" s="109">
        <v>16</v>
      </c>
      <c r="D37" s="48">
        <f>C37*yy*jj</f>
        <v>83.2</v>
      </c>
      <c r="E37" s="48"/>
      <c r="F37" s="48">
        <f t="shared" si="4"/>
        <v>83.2</v>
      </c>
      <c r="G37" s="48"/>
      <c r="H37" s="63"/>
      <c r="I37" s="56"/>
      <c r="J37" s="56"/>
      <c r="K37" s="56"/>
      <c r="L37" s="56"/>
      <c r="M37" s="55"/>
    </row>
    <row r="38" spans="1:14" x14ac:dyDescent="0.25">
      <c r="A38" s="83"/>
      <c r="B38" s="82" t="s">
        <v>330</v>
      </c>
      <c r="C38" s="109">
        <v>35</v>
      </c>
      <c r="D38" s="60">
        <f>(C38*bb+C38*ee+C38*gg)*jj</f>
        <v>182</v>
      </c>
      <c r="E38" s="60"/>
      <c r="F38" s="48">
        <f t="shared" si="4"/>
        <v>182</v>
      </c>
      <c r="G38" s="60"/>
      <c r="H38" s="84"/>
      <c r="I38" s="56"/>
      <c r="J38" s="56"/>
      <c r="K38" s="56"/>
      <c r="L38" s="56"/>
      <c r="M38" s="81"/>
      <c r="N38" s="80"/>
    </row>
    <row r="39" spans="1:14" ht="25" x14ac:dyDescent="0.25">
      <c r="A39" s="83"/>
      <c r="B39" s="82" t="s">
        <v>331</v>
      </c>
      <c r="C39" s="109">
        <v>17</v>
      </c>
      <c r="D39" s="48">
        <f>C39*yy*jj</f>
        <v>88.4</v>
      </c>
      <c r="E39" s="48"/>
      <c r="F39" s="48">
        <f t="shared" si="4"/>
        <v>88.4</v>
      </c>
      <c r="G39" s="48"/>
      <c r="H39" s="63"/>
      <c r="I39" s="56"/>
      <c r="J39" s="56"/>
      <c r="K39" s="56"/>
      <c r="L39" s="56"/>
      <c r="M39" s="81"/>
      <c r="N39" s="80"/>
    </row>
    <row r="40" spans="1:14" x14ac:dyDescent="0.25">
      <c r="A40" s="83"/>
      <c r="B40" s="82" t="s">
        <v>332</v>
      </c>
      <c r="C40" s="60">
        <v>6</v>
      </c>
      <c r="D40" s="60">
        <f>C40*dd+C40*ff</f>
        <v>24</v>
      </c>
      <c r="E40" s="48"/>
      <c r="F40" s="48">
        <f t="shared" si="4"/>
        <v>24</v>
      </c>
      <c r="G40" s="48"/>
      <c r="H40" s="63"/>
      <c r="I40" s="56"/>
      <c r="J40" s="56"/>
      <c r="K40" s="56"/>
      <c r="L40" s="56"/>
      <c r="M40" s="81"/>
      <c r="N40" s="80"/>
    </row>
    <row r="41" spans="1:14" x14ac:dyDescent="0.25">
      <c r="A41" s="83"/>
      <c r="B41" s="82" t="s">
        <v>419</v>
      </c>
      <c r="C41" s="60">
        <v>6</v>
      </c>
      <c r="D41" s="60">
        <f>C41*aa+C41*ff</f>
        <v>24</v>
      </c>
      <c r="E41" s="48"/>
      <c r="F41" s="48">
        <f t="shared" si="4"/>
        <v>24</v>
      </c>
      <c r="G41" s="48"/>
      <c r="H41" s="63"/>
      <c r="I41" s="56"/>
      <c r="J41" s="56"/>
      <c r="K41" s="56"/>
      <c r="L41" s="56"/>
      <c r="M41" s="81"/>
      <c r="N41" s="80"/>
    </row>
    <row r="42" spans="1:14" ht="25" x14ac:dyDescent="0.25">
      <c r="A42" s="68"/>
      <c r="B42" s="74" t="s">
        <v>297</v>
      </c>
      <c r="C42" s="109">
        <v>4</v>
      </c>
      <c r="D42" s="48">
        <f>C42*yy*jj</f>
        <v>20.8</v>
      </c>
      <c r="E42" s="48">
        <f>D42</f>
        <v>20.8</v>
      </c>
      <c r="F42" s="48">
        <f t="shared" si="4"/>
        <v>20.8</v>
      </c>
      <c r="G42" s="48"/>
      <c r="H42" s="63" t="s">
        <v>334</v>
      </c>
      <c r="I42" s="56"/>
      <c r="J42" s="56"/>
      <c r="K42" s="56"/>
      <c r="L42" s="56"/>
      <c r="M42" s="55"/>
    </row>
    <row r="43" spans="1:14" x14ac:dyDescent="0.25">
      <c r="A43" s="68"/>
      <c r="B43" s="74" t="s">
        <v>335</v>
      </c>
      <c r="C43" s="60">
        <v>6</v>
      </c>
      <c r="D43" s="60">
        <f>C43*aa+C43*dd+C43*ff</f>
        <v>48</v>
      </c>
      <c r="E43" s="60"/>
      <c r="F43" s="48">
        <f t="shared" si="4"/>
        <v>48</v>
      </c>
      <c r="G43" s="60"/>
      <c r="H43" s="59"/>
      <c r="I43" s="56"/>
      <c r="J43" s="56"/>
      <c r="K43" s="56"/>
      <c r="L43" s="56"/>
      <c r="M43" s="55"/>
    </row>
    <row r="44" spans="1:14" x14ac:dyDescent="0.25">
      <c r="A44" s="68"/>
      <c r="B44" s="74" t="s">
        <v>336</v>
      </c>
      <c r="C44" s="60">
        <v>4</v>
      </c>
      <c r="D44" s="60">
        <f>C44*bb+C44*ee+C44*gg</f>
        <v>16</v>
      </c>
      <c r="E44" s="60"/>
      <c r="F44" s="48">
        <f t="shared" si="4"/>
        <v>16</v>
      </c>
      <c r="G44" s="60"/>
      <c r="H44" s="59"/>
      <c r="I44" s="56"/>
      <c r="J44" s="56"/>
      <c r="K44" s="56"/>
      <c r="L44" s="56"/>
      <c r="M44" s="55"/>
      <c r="N44" s="80"/>
    </row>
    <row r="45" spans="1:14" x14ac:dyDescent="0.25">
      <c r="A45" s="68"/>
      <c r="B45" s="74" t="s">
        <v>337</v>
      </c>
      <c r="C45" s="60">
        <v>6</v>
      </c>
      <c r="D45" s="60">
        <f>C45*bb+C45*ee+C45*gg</f>
        <v>24</v>
      </c>
      <c r="E45" s="60"/>
      <c r="F45" s="48">
        <f t="shared" si="4"/>
        <v>24</v>
      </c>
      <c r="G45" s="60"/>
      <c r="H45" s="59"/>
      <c r="I45" s="56"/>
      <c r="J45" s="56"/>
      <c r="K45" s="56"/>
      <c r="L45" s="56"/>
      <c r="M45" s="55"/>
      <c r="N45" s="80"/>
    </row>
    <row r="46" spans="1:14" x14ac:dyDescent="0.25">
      <c r="A46" s="68"/>
      <c r="B46" s="74" t="s">
        <v>307</v>
      </c>
      <c r="C46" s="110">
        <v>16</v>
      </c>
      <c r="D46" s="48">
        <f>C46*yy*kk</f>
        <v>128</v>
      </c>
      <c r="E46" s="48"/>
      <c r="F46" s="48">
        <f t="shared" si="4"/>
        <v>128</v>
      </c>
      <c r="G46" s="48"/>
      <c r="H46" s="63"/>
      <c r="I46" s="56"/>
      <c r="J46" s="56"/>
      <c r="K46" s="56"/>
      <c r="L46" s="56"/>
      <c r="M46" s="55"/>
    </row>
    <row r="47" spans="1:14" x14ac:dyDescent="0.25">
      <c r="A47" s="68"/>
      <c r="B47" s="74" t="s">
        <v>338</v>
      </c>
      <c r="C47" s="110">
        <v>1</v>
      </c>
      <c r="D47" s="60">
        <f>(C47*aa+C47*dd+C47*ff)*kk</f>
        <v>16</v>
      </c>
      <c r="E47" s="60"/>
      <c r="F47" s="48">
        <f t="shared" si="4"/>
        <v>16</v>
      </c>
      <c r="G47" s="60"/>
      <c r="H47" s="59"/>
      <c r="I47" s="56"/>
      <c r="J47" s="56"/>
      <c r="K47" s="56"/>
      <c r="L47" s="56"/>
      <c r="M47" s="55"/>
      <c r="N47" s="80"/>
    </row>
    <row r="48" spans="1:14" x14ac:dyDescent="0.25">
      <c r="A48" s="68"/>
      <c r="B48" s="74" t="s">
        <v>308</v>
      </c>
      <c r="C48" s="60">
        <v>16</v>
      </c>
      <c r="D48" s="48">
        <f t="shared" ref="D48:D53" si="5">C48*yy</f>
        <v>64</v>
      </c>
      <c r="E48" s="48"/>
      <c r="F48" s="48">
        <f t="shared" si="4"/>
        <v>64</v>
      </c>
      <c r="G48" s="48"/>
      <c r="H48" s="63"/>
      <c r="I48" s="56"/>
      <c r="J48" s="56"/>
      <c r="K48" s="56"/>
      <c r="L48" s="56"/>
      <c r="M48" s="55"/>
    </row>
    <row r="49" spans="1:13" x14ac:dyDescent="0.25">
      <c r="A49" s="68"/>
      <c r="B49" s="74" t="s">
        <v>339</v>
      </c>
      <c r="C49" s="110">
        <v>8</v>
      </c>
      <c r="D49" s="48">
        <f>C49*yy*kk</f>
        <v>64</v>
      </c>
      <c r="E49" s="48"/>
      <c r="F49" s="48">
        <f t="shared" si="4"/>
        <v>64</v>
      </c>
      <c r="G49" s="48"/>
      <c r="H49" s="63"/>
      <c r="I49" s="56"/>
      <c r="J49" s="56"/>
      <c r="K49" s="56"/>
      <c r="L49" s="56"/>
      <c r="M49" s="55"/>
    </row>
    <row r="50" spans="1:13" x14ac:dyDescent="0.25">
      <c r="A50" s="68"/>
      <c r="B50" s="74" t="s">
        <v>340</v>
      </c>
      <c r="C50" s="60">
        <v>24</v>
      </c>
      <c r="D50" s="48">
        <f t="shared" si="5"/>
        <v>96</v>
      </c>
      <c r="E50" s="48"/>
      <c r="F50" s="48">
        <f t="shared" si="4"/>
        <v>96</v>
      </c>
      <c r="G50" s="48"/>
      <c r="H50" s="63"/>
      <c r="I50" s="56"/>
      <c r="J50" s="56"/>
      <c r="K50" s="56"/>
      <c r="L50" s="56"/>
      <c r="M50" s="55"/>
    </row>
    <row r="51" spans="1:13" x14ac:dyDescent="0.25">
      <c r="A51" s="68"/>
      <c r="B51" s="74" t="s">
        <v>341</v>
      </c>
      <c r="C51" s="60">
        <v>0</v>
      </c>
      <c r="D51" s="48">
        <f t="shared" si="5"/>
        <v>0</v>
      </c>
      <c r="E51" s="48">
        <f>D51</f>
        <v>0</v>
      </c>
      <c r="F51" s="48"/>
      <c r="G51" s="48"/>
      <c r="H51" s="63" t="s">
        <v>311</v>
      </c>
      <c r="I51" s="56"/>
      <c r="J51" s="56"/>
      <c r="K51" s="56"/>
      <c r="L51" s="56"/>
      <c r="M51" s="55"/>
    </row>
    <row r="52" spans="1:13" x14ac:dyDescent="0.25">
      <c r="A52" s="68"/>
      <c r="B52" s="74" t="s">
        <v>313</v>
      </c>
      <c r="C52" s="60">
        <v>8</v>
      </c>
      <c r="D52" s="48">
        <f t="shared" si="5"/>
        <v>32</v>
      </c>
      <c r="E52" s="48">
        <f>D52</f>
        <v>32</v>
      </c>
      <c r="F52" s="48"/>
      <c r="G52" s="48"/>
      <c r="H52" s="63"/>
      <c r="I52" s="56"/>
      <c r="J52" s="56"/>
      <c r="K52" s="56"/>
      <c r="L52" s="56"/>
      <c r="M52" s="55"/>
    </row>
    <row r="53" spans="1:13" x14ac:dyDescent="0.25">
      <c r="A53" s="79"/>
      <c r="B53" s="78" t="s">
        <v>342</v>
      </c>
      <c r="C53" s="60">
        <v>24</v>
      </c>
      <c r="D53" s="48">
        <f t="shared" si="5"/>
        <v>96</v>
      </c>
      <c r="E53" s="48"/>
      <c r="F53" s="60">
        <f>D53</f>
        <v>96</v>
      </c>
      <c r="G53" s="48"/>
      <c r="H53" s="63"/>
      <c r="I53" s="56"/>
      <c r="J53" s="56"/>
      <c r="K53" s="56"/>
      <c r="L53" s="56"/>
      <c r="M53" s="55"/>
    </row>
    <row r="54" spans="1:13" x14ac:dyDescent="0.25">
      <c r="A54" s="68"/>
      <c r="B54" s="74" t="s">
        <v>315</v>
      </c>
      <c r="C54" s="110">
        <v>48</v>
      </c>
      <c r="D54" s="48">
        <f>C54*yy*kk</f>
        <v>384</v>
      </c>
      <c r="E54" s="48"/>
      <c r="F54" s="48"/>
      <c r="G54" s="48">
        <f>D54</f>
        <v>384</v>
      </c>
      <c r="H54" s="63"/>
      <c r="I54" s="56"/>
      <c r="J54" s="56"/>
      <c r="K54" s="56"/>
      <c r="L54" s="56"/>
      <c r="M54" s="55"/>
    </row>
    <row r="55" spans="1:13" x14ac:dyDescent="0.25">
      <c r="A55" s="66" t="s">
        <v>316</v>
      </c>
      <c r="B55" s="77" t="s">
        <v>343</v>
      </c>
      <c r="C55" s="110">
        <v>16</v>
      </c>
      <c r="D55" s="60">
        <f>(C55*aa+C55*dd+C55*ff)*kk</f>
        <v>256</v>
      </c>
      <c r="E55" s="60"/>
      <c r="F55" s="60">
        <f>D55</f>
        <v>256</v>
      </c>
      <c r="G55" s="60"/>
      <c r="H55" s="59" t="s">
        <v>344</v>
      </c>
      <c r="I55" s="56"/>
      <c r="J55" s="56"/>
      <c r="K55" s="56"/>
      <c r="L55" s="56"/>
      <c r="M55" s="55"/>
    </row>
    <row r="56" spans="1:13" x14ac:dyDescent="0.25">
      <c r="A56" s="73" t="s">
        <v>345</v>
      </c>
      <c r="B56" s="72" t="s">
        <v>320</v>
      </c>
      <c r="C56" s="60">
        <v>2</v>
      </c>
      <c r="D56" s="48">
        <f>C56*yy</f>
        <v>8</v>
      </c>
      <c r="E56" s="48">
        <f>D56</f>
        <v>8</v>
      </c>
      <c r="F56" s="48"/>
      <c r="G56" s="48"/>
      <c r="H56" s="63"/>
      <c r="I56" s="56"/>
      <c r="J56" s="56"/>
      <c r="K56" s="56"/>
      <c r="L56" s="56"/>
      <c r="M56" s="55"/>
    </row>
    <row r="57" spans="1:13" x14ac:dyDescent="0.25">
      <c r="A57" s="73"/>
      <c r="B57" s="72" t="s">
        <v>321</v>
      </c>
      <c r="C57" s="60">
        <v>1</v>
      </c>
      <c r="D57" s="48">
        <f>C57*yy</f>
        <v>4</v>
      </c>
      <c r="E57" s="48">
        <f>D57</f>
        <v>4</v>
      </c>
      <c r="F57" s="48"/>
      <c r="G57" s="48"/>
      <c r="H57" s="63"/>
      <c r="I57" s="56"/>
      <c r="J57" s="56"/>
      <c r="K57" s="56"/>
      <c r="L57" s="56"/>
      <c r="M57" s="55"/>
    </row>
    <row r="58" spans="1:13" x14ac:dyDescent="0.25">
      <c r="A58" s="73"/>
      <c r="B58" s="72" t="s">
        <v>322</v>
      </c>
      <c r="C58" s="60">
        <v>1</v>
      </c>
      <c r="D58" s="48">
        <f>C58*yy</f>
        <v>4</v>
      </c>
      <c r="E58" s="48">
        <f>D58</f>
        <v>4</v>
      </c>
      <c r="F58" s="48"/>
      <c r="G58" s="48"/>
      <c r="H58" s="63" t="s">
        <v>420</v>
      </c>
      <c r="I58" s="56"/>
      <c r="J58" s="56"/>
      <c r="K58" s="56"/>
      <c r="L58" s="56"/>
      <c r="M58" s="55"/>
    </row>
    <row r="59" spans="1:13" ht="12.75" customHeight="1" x14ac:dyDescent="0.25">
      <c r="A59" s="157" t="s">
        <v>346</v>
      </c>
      <c r="B59" s="76" t="s">
        <v>347</v>
      </c>
      <c r="C59" s="109">
        <v>4</v>
      </c>
      <c r="D59" s="48">
        <f>C59*yy*j</f>
        <v>20.8</v>
      </c>
      <c r="E59" s="48">
        <f>D59</f>
        <v>20.8</v>
      </c>
      <c r="F59" s="48"/>
      <c r="G59" s="48"/>
      <c r="H59" s="63"/>
      <c r="I59" s="56"/>
      <c r="J59" s="56"/>
      <c r="K59" s="56"/>
      <c r="L59" s="56"/>
      <c r="M59" s="55"/>
    </row>
    <row r="60" spans="1:13" x14ac:dyDescent="0.25">
      <c r="A60" s="157"/>
      <c r="B60" s="76" t="s">
        <v>299</v>
      </c>
      <c r="C60" s="60">
        <v>1</v>
      </c>
      <c r="D60" s="48">
        <f>C60*yy</f>
        <v>4</v>
      </c>
      <c r="E60" s="48"/>
      <c r="F60" s="48"/>
      <c r="G60" s="48">
        <f>D60</f>
        <v>4</v>
      </c>
      <c r="H60" s="63"/>
      <c r="I60" s="56"/>
      <c r="J60" s="56"/>
      <c r="K60" s="56"/>
      <c r="L60" s="56"/>
      <c r="M60" s="55"/>
    </row>
    <row r="61" spans="1:13" x14ac:dyDescent="0.25">
      <c r="A61" s="68" t="s">
        <v>300</v>
      </c>
      <c r="B61" s="75" t="s">
        <v>348</v>
      </c>
      <c r="C61" s="60">
        <v>8</v>
      </c>
      <c r="D61" s="60">
        <f>C61*bb+C61*ee+C61*gg</f>
        <v>32</v>
      </c>
      <c r="E61" s="48">
        <f t="shared" ref="E61:E67" si="6">D61</f>
        <v>32</v>
      </c>
      <c r="F61" s="60"/>
      <c r="G61" s="60"/>
      <c r="H61" s="59"/>
      <c r="I61" s="56"/>
      <c r="J61" s="56"/>
      <c r="K61" s="56"/>
      <c r="L61" s="56"/>
      <c r="M61" s="55"/>
    </row>
    <row r="62" spans="1:13" x14ac:dyDescent="0.25">
      <c r="A62" s="68" t="s">
        <v>300</v>
      </c>
      <c r="B62" s="75" t="s">
        <v>349</v>
      </c>
      <c r="C62" s="60">
        <v>4</v>
      </c>
      <c r="D62" s="48">
        <f t="shared" ref="D62:D95" si="7">C62*yy</f>
        <v>16</v>
      </c>
      <c r="E62" s="48">
        <f t="shared" si="6"/>
        <v>16</v>
      </c>
      <c r="F62" s="48"/>
      <c r="G62" s="48"/>
      <c r="H62" s="63"/>
      <c r="I62" s="56"/>
      <c r="J62" s="56"/>
      <c r="K62" s="56"/>
      <c r="L62" s="56"/>
      <c r="M62" s="55"/>
    </row>
    <row r="63" spans="1:13" x14ac:dyDescent="0.25">
      <c r="A63" s="68"/>
      <c r="B63" s="74" t="s">
        <v>350</v>
      </c>
      <c r="C63" s="60">
        <v>4</v>
      </c>
      <c r="D63" s="48">
        <f t="shared" si="7"/>
        <v>16</v>
      </c>
      <c r="E63" s="48">
        <f t="shared" si="6"/>
        <v>16</v>
      </c>
      <c r="F63" s="48"/>
      <c r="G63" s="48"/>
      <c r="H63" s="63"/>
      <c r="I63" s="56"/>
      <c r="J63" s="56"/>
      <c r="K63" s="56"/>
      <c r="L63" s="56"/>
      <c r="M63" s="55"/>
    </row>
    <row r="64" spans="1:13" x14ac:dyDescent="0.25">
      <c r="A64" s="68"/>
      <c r="B64" s="74" t="s">
        <v>351</v>
      </c>
      <c r="C64" s="60">
        <v>4</v>
      </c>
      <c r="D64" s="48">
        <f t="shared" si="7"/>
        <v>16</v>
      </c>
      <c r="E64" s="48">
        <f t="shared" si="6"/>
        <v>16</v>
      </c>
      <c r="F64" s="48"/>
      <c r="G64" s="48"/>
      <c r="H64" s="63"/>
      <c r="I64" s="56"/>
      <c r="J64" s="56"/>
      <c r="K64" s="56"/>
      <c r="L64" s="56"/>
      <c r="M64" s="55"/>
    </row>
    <row r="65" spans="1:13" x14ac:dyDescent="0.25">
      <c r="A65" s="68"/>
      <c r="B65" s="74" t="s">
        <v>352</v>
      </c>
      <c r="C65" s="60">
        <v>4</v>
      </c>
      <c r="D65" s="48">
        <f t="shared" si="7"/>
        <v>16</v>
      </c>
      <c r="E65" s="48">
        <f t="shared" si="6"/>
        <v>16</v>
      </c>
      <c r="F65" s="48"/>
      <c r="G65" s="48"/>
      <c r="H65" s="63"/>
      <c r="I65" s="56"/>
      <c r="J65" s="56"/>
      <c r="K65" s="56"/>
      <c r="L65" s="56"/>
      <c r="M65" s="55"/>
    </row>
    <row r="66" spans="1:13" x14ac:dyDescent="0.25">
      <c r="A66" s="68"/>
      <c r="B66" s="74" t="s">
        <v>313</v>
      </c>
      <c r="C66" s="60">
        <v>4</v>
      </c>
      <c r="D66" s="48">
        <f t="shared" si="7"/>
        <v>16</v>
      </c>
      <c r="E66" s="48">
        <f t="shared" si="6"/>
        <v>16</v>
      </c>
      <c r="F66" s="48"/>
      <c r="G66" s="48"/>
      <c r="H66" s="63"/>
      <c r="I66" s="56"/>
      <c r="J66" s="56"/>
      <c r="K66" s="56"/>
      <c r="L66" s="56"/>
      <c r="M66" s="55"/>
    </row>
    <row r="67" spans="1:13" x14ac:dyDescent="0.25">
      <c r="A67" s="68"/>
      <c r="B67" s="74" t="s">
        <v>353</v>
      </c>
      <c r="C67" s="60">
        <v>2</v>
      </c>
      <c r="D67" s="48">
        <f t="shared" si="7"/>
        <v>8</v>
      </c>
      <c r="E67" s="48">
        <f t="shared" si="6"/>
        <v>8</v>
      </c>
      <c r="F67" s="48"/>
      <c r="G67" s="48"/>
      <c r="H67" s="63"/>
      <c r="I67" s="56"/>
      <c r="J67" s="56"/>
      <c r="K67" s="56"/>
      <c r="L67" s="56"/>
      <c r="M67" s="55"/>
    </row>
    <row r="68" spans="1:13" x14ac:dyDescent="0.25">
      <c r="A68" s="68"/>
      <c r="B68" s="74" t="s">
        <v>299</v>
      </c>
      <c r="C68" s="60">
        <v>8</v>
      </c>
      <c r="D68" s="48">
        <f t="shared" si="7"/>
        <v>32</v>
      </c>
      <c r="E68" s="48"/>
      <c r="F68" s="48"/>
      <c r="G68" s="48">
        <f>D68</f>
        <v>32</v>
      </c>
      <c r="H68" s="63"/>
      <c r="I68" s="56"/>
      <c r="J68" s="56"/>
      <c r="K68" s="56"/>
      <c r="L68" s="56"/>
      <c r="M68" s="55"/>
    </row>
    <row r="69" spans="1:13" x14ac:dyDescent="0.25">
      <c r="A69" s="73" t="s">
        <v>345</v>
      </c>
      <c r="B69" s="72" t="s">
        <v>320</v>
      </c>
      <c r="C69" s="60">
        <v>2</v>
      </c>
      <c r="D69" s="48">
        <f t="shared" si="7"/>
        <v>8</v>
      </c>
      <c r="E69" s="48">
        <f t="shared" ref="E69:E79" si="8">D69</f>
        <v>8</v>
      </c>
      <c r="F69" s="48"/>
      <c r="G69" s="48"/>
      <c r="H69" s="63"/>
      <c r="I69" s="56"/>
      <c r="J69" s="56"/>
      <c r="K69" s="56"/>
      <c r="L69" s="56"/>
      <c r="M69" s="55"/>
    </row>
    <row r="70" spans="1:13" x14ac:dyDescent="0.25">
      <c r="A70" s="73"/>
      <c r="B70" s="72" t="s">
        <v>321</v>
      </c>
      <c r="C70" s="60">
        <v>0</v>
      </c>
      <c r="D70" s="48">
        <f t="shared" si="7"/>
        <v>0</v>
      </c>
      <c r="E70" s="48">
        <f t="shared" si="8"/>
        <v>0</v>
      </c>
      <c r="F70" s="48"/>
      <c r="G70" s="48"/>
      <c r="H70" s="63" t="s">
        <v>311</v>
      </c>
      <c r="I70" s="56"/>
      <c r="J70" s="56"/>
      <c r="K70" s="56"/>
      <c r="L70" s="56"/>
      <c r="M70" s="55"/>
    </row>
    <row r="71" spans="1:13" x14ac:dyDescent="0.25">
      <c r="A71" s="73"/>
      <c r="B71" s="72" t="s">
        <v>322</v>
      </c>
      <c r="C71" s="60">
        <v>0</v>
      </c>
      <c r="D71" s="48">
        <f t="shared" si="7"/>
        <v>0</v>
      </c>
      <c r="E71" s="48">
        <f t="shared" si="8"/>
        <v>0</v>
      </c>
      <c r="F71" s="48"/>
      <c r="G71" s="48"/>
      <c r="H71" s="63"/>
      <c r="I71" s="56"/>
      <c r="J71" s="56"/>
      <c r="K71" s="56"/>
      <c r="L71" s="56"/>
      <c r="M71" s="55"/>
    </row>
    <row r="72" spans="1:13" ht="28.9" customHeight="1" x14ac:dyDescent="0.25">
      <c r="A72" s="159" t="s">
        <v>354</v>
      </c>
      <c r="B72" s="71" t="s">
        <v>355</v>
      </c>
      <c r="C72" s="60">
        <v>4</v>
      </c>
      <c r="D72" s="48">
        <f t="shared" si="7"/>
        <v>16</v>
      </c>
      <c r="E72" s="48">
        <f t="shared" si="8"/>
        <v>16</v>
      </c>
      <c r="F72" s="48"/>
      <c r="G72" s="48"/>
      <c r="H72" s="63" t="s">
        <v>421</v>
      </c>
      <c r="I72" s="56"/>
      <c r="J72" s="56"/>
      <c r="K72" s="56"/>
      <c r="L72" s="56"/>
      <c r="M72" s="55"/>
    </row>
    <row r="73" spans="1:13" x14ac:dyDescent="0.25">
      <c r="A73" s="159"/>
      <c r="B73" s="71" t="s">
        <v>356</v>
      </c>
      <c r="C73" s="60">
        <v>4</v>
      </c>
      <c r="D73" s="48">
        <f t="shared" si="7"/>
        <v>16</v>
      </c>
      <c r="E73" s="48">
        <f t="shared" si="8"/>
        <v>16</v>
      </c>
      <c r="F73" s="48"/>
      <c r="G73" s="48"/>
      <c r="H73" s="63"/>
      <c r="I73" s="56"/>
      <c r="J73" s="56"/>
      <c r="K73" s="56"/>
      <c r="L73" s="56"/>
      <c r="M73" s="55"/>
    </row>
    <row r="74" spans="1:13" x14ac:dyDescent="0.25">
      <c r="A74" s="71"/>
      <c r="B74" s="71" t="s">
        <v>357</v>
      </c>
      <c r="C74" s="60">
        <v>16</v>
      </c>
      <c r="D74" s="48">
        <f t="shared" si="7"/>
        <v>64</v>
      </c>
      <c r="E74" s="48">
        <f t="shared" si="8"/>
        <v>64</v>
      </c>
      <c r="F74" s="48"/>
      <c r="G74" s="48"/>
      <c r="H74" s="63"/>
      <c r="I74" s="56"/>
      <c r="J74" s="56"/>
      <c r="K74" s="56"/>
      <c r="L74" s="56"/>
      <c r="M74" s="55"/>
    </row>
    <row r="75" spans="1:13" x14ac:dyDescent="0.25">
      <c r="A75" s="71"/>
      <c r="B75" s="71" t="s">
        <v>358</v>
      </c>
      <c r="C75" s="60">
        <v>4</v>
      </c>
      <c r="D75" s="48">
        <f t="shared" si="7"/>
        <v>16</v>
      </c>
      <c r="E75" s="48">
        <f t="shared" si="8"/>
        <v>16</v>
      </c>
      <c r="F75" s="48"/>
      <c r="G75" s="48"/>
      <c r="H75" s="63" t="s">
        <v>421</v>
      </c>
      <c r="I75" s="56"/>
      <c r="J75" s="56"/>
      <c r="K75" s="56"/>
      <c r="L75" s="56"/>
      <c r="M75" s="55"/>
    </row>
    <row r="76" spans="1:13" x14ac:dyDescent="0.25">
      <c r="A76" s="71"/>
      <c r="B76" s="71" t="s">
        <v>359</v>
      </c>
      <c r="C76" s="60">
        <v>4</v>
      </c>
      <c r="D76" s="48">
        <f t="shared" si="7"/>
        <v>16</v>
      </c>
      <c r="E76" s="48">
        <f t="shared" si="8"/>
        <v>16</v>
      </c>
      <c r="F76" s="48"/>
      <c r="G76" s="48"/>
      <c r="H76" s="63" t="s">
        <v>422</v>
      </c>
      <c r="I76" s="56"/>
      <c r="J76" s="56"/>
      <c r="K76" s="56"/>
      <c r="L76" s="56"/>
      <c r="M76" s="55"/>
    </row>
    <row r="77" spans="1:13" x14ac:dyDescent="0.25">
      <c r="A77" s="71"/>
      <c r="B77" s="71" t="s">
        <v>360</v>
      </c>
      <c r="C77" s="60">
        <v>2</v>
      </c>
      <c r="D77" s="48">
        <f t="shared" si="7"/>
        <v>8</v>
      </c>
      <c r="E77" s="48">
        <f t="shared" si="8"/>
        <v>8</v>
      </c>
      <c r="F77" s="48"/>
      <c r="G77" s="48"/>
      <c r="H77" s="63" t="s">
        <v>423</v>
      </c>
      <c r="I77" s="56"/>
      <c r="J77" s="56"/>
      <c r="K77" s="56"/>
      <c r="L77" s="56"/>
      <c r="M77" s="55"/>
    </row>
    <row r="78" spans="1:13" x14ac:dyDescent="0.25">
      <c r="A78" s="71"/>
      <c r="B78" s="71" t="s">
        <v>361</v>
      </c>
      <c r="C78" s="60">
        <v>16</v>
      </c>
      <c r="D78" s="48">
        <f t="shared" si="7"/>
        <v>64</v>
      </c>
      <c r="E78" s="48">
        <f t="shared" si="8"/>
        <v>64</v>
      </c>
      <c r="F78" s="48"/>
      <c r="G78" s="48"/>
      <c r="H78" s="63"/>
      <c r="I78" s="56"/>
      <c r="J78" s="56"/>
      <c r="K78" s="56"/>
      <c r="L78" s="56"/>
      <c r="M78" s="55"/>
    </row>
    <row r="79" spans="1:13" x14ac:dyDescent="0.25">
      <c r="A79" s="71"/>
      <c r="B79" s="71" t="s">
        <v>362</v>
      </c>
      <c r="C79" s="60">
        <v>8</v>
      </c>
      <c r="D79" s="48">
        <f t="shared" si="7"/>
        <v>32</v>
      </c>
      <c r="E79" s="48">
        <f t="shared" si="8"/>
        <v>32</v>
      </c>
      <c r="F79" s="48"/>
      <c r="G79" s="48"/>
      <c r="H79" s="63"/>
      <c r="I79" s="56"/>
      <c r="J79" s="56"/>
      <c r="K79" s="56"/>
      <c r="L79" s="56"/>
      <c r="M79" s="55"/>
    </row>
    <row r="80" spans="1:13" x14ac:dyDescent="0.25">
      <c r="A80" s="71"/>
      <c r="B80" s="71" t="s">
        <v>299</v>
      </c>
      <c r="C80" s="60">
        <v>8</v>
      </c>
      <c r="D80" s="48">
        <f t="shared" si="7"/>
        <v>32</v>
      </c>
      <c r="E80" s="48"/>
      <c r="F80" s="48"/>
      <c r="G80" s="48">
        <f>D80</f>
        <v>32</v>
      </c>
      <c r="H80" s="63"/>
      <c r="I80" s="56"/>
      <c r="J80" s="56"/>
      <c r="K80" s="56"/>
      <c r="L80" s="56"/>
      <c r="M80" s="55"/>
    </row>
    <row r="81" spans="1:13" x14ac:dyDescent="0.25">
      <c r="A81" s="69" t="s">
        <v>363</v>
      </c>
      <c r="B81" s="71" t="s">
        <v>355</v>
      </c>
      <c r="C81" s="60">
        <v>4</v>
      </c>
      <c r="D81" s="48">
        <f t="shared" si="7"/>
        <v>16</v>
      </c>
      <c r="E81" s="48">
        <f t="shared" ref="E81:E89" si="9">D81</f>
        <v>16</v>
      </c>
      <c r="F81" s="48"/>
      <c r="G81" s="48"/>
      <c r="H81" s="63"/>
      <c r="I81" s="56"/>
      <c r="J81" s="56"/>
      <c r="K81" s="56"/>
      <c r="L81" s="56"/>
      <c r="M81" s="55"/>
    </row>
    <row r="82" spans="1:13" x14ac:dyDescent="0.25">
      <c r="A82" s="71"/>
      <c r="B82" s="71" t="s">
        <v>364</v>
      </c>
      <c r="C82" s="60">
        <v>4</v>
      </c>
      <c r="D82" s="48">
        <f t="shared" si="7"/>
        <v>16</v>
      </c>
      <c r="E82" s="48">
        <f t="shared" si="9"/>
        <v>16</v>
      </c>
      <c r="F82" s="48"/>
      <c r="G82" s="48"/>
      <c r="H82" s="63"/>
      <c r="I82" s="56"/>
      <c r="J82" s="56"/>
      <c r="K82" s="56"/>
      <c r="L82" s="56"/>
      <c r="M82" s="55"/>
    </row>
    <row r="83" spans="1:13" x14ac:dyDescent="0.25">
      <c r="A83" s="71"/>
      <c r="B83" s="71" t="s">
        <v>357</v>
      </c>
      <c r="C83" s="60">
        <v>8</v>
      </c>
      <c r="D83" s="48">
        <f t="shared" si="7"/>
        <v>32</v>
      </c>
      <c r="E83" s="48">
        <f t="shared" si="9"/>
        <v>32</v>
      </c>
      <c r="F83" s="48"/>
      <c r="G83" s="48"/>
      <c r="H83" s="63"/>
      <c r="I83" s="56"/>
      <c r="J83" s="56"/>
      <c r="K83" s="56"/>
      <c r="L83" s="56"/>
      <c r="M83" s="55"/>
    </row>
    <row r="84" spans="1:13" x14ac:dyDescent="0.25">
      <c r="A84" s="71"/>
      <c r="B84" s="71" t="s">
        <v>358</v>
      </c>
      <c r="C84" s="60">
        <v>4</v>
      </c>
      <c r="D84" s="48">
        <f t="shared" si="7"/>
        <v>16</v>
      </c>
      <c r="E84" s="48">
        <f t="shared" si="9"/>
        <v>16</v>
      </c>
      <c r="F84" s="48"/>
      <c r="G84" s="48"/>
      <c r="H84" s="63" t="s">
        <v>423</v>
      </c>
      <c r="I84" s="56"/>
      <c r="J84" s="56"/>
      <c r="K84" s="56"/>
      <c r="L84" s="56"/>
      <c r="M84" s="55"/>
    </row>
    <row r="85" spans="1:13" x14ac:dyDescent="0.25">
      <c r="A85" s="71"/>
      <c r="B85" s="71" t="s">
        <v>365</v>
      </c>
      <c r="C85" s="60">
        <v>4</v>
      </c>
      <c r="D85" s="48">
        <f t="shared" si="7"/>
        <v>16</v>
      </c>
      <c r="E85" s="48">
        <f t="shared" si="9"/>
        <v>16</v>
      </c>
      <c r="F85" s="48"/>
      <c r="G85" s="48"/>
      <c r="H85" s="63"/>
      <c r="I85" s="56"/>
      <c r="J85" s="56"/>
      <c r="K85" s="56"/>
      <c r="L85" s="56"/>
      <c r="M85" s="55"/>
    </row>
    <row r="86" spans="1:13" x14ac:dyDescent="0.25">
      <c r="A86" s="71"/>
      <c r="B86" s="71" t="s">
        <v>366</v>
      </c>
      <c r="C86" s="60">
        <v>2</v>
      </c>
      <c r="D86" s="48">
        <f t="shared" si="7"/>
        <v>8</v>
      </c>
      <c r="E86" s="48">
        <f t="shared" si="9"/>
        <v>8</v>
      </c>
      <c r="F86" s="48"/>
      <c r="G86" s="48"/>
      <c r="H86" s="63"/>
      <c r="I86" s="56"/>
      <c r="J86" s="56"/>
      <c r="K86" s="56"/>
      <c r="L86" s="56"/>
      <c r="M86" s="55"/>
    </row>
    <row r="87" spans="1:13" x14ac:dyDescent="0.25">
      <c r="A87" s="71"/>
      <c r="B87" s="71" t="s">
        <v>361</v>
      </c>
      <c r="C87" s="60">
        <v>12</v>
      </c>
      <c r="D87" s="48">
        <f t="shared" si="7"/>
        <v>48</v>
      </c>
      <c r="E87" s="48">
        <f t="shared" si="9"/>
        <v>48</v>
      </c>
      <c r="F87" s="48"/>
      <c r="G87" s="48"/>
      <c r="H87" s="63"/>
      <c r="I87" s="56"/>
      <c r="J87" s="56"/>
      <c r="K87" s="56"/>
      <c r="L87" s="56"/>
      <c r="M87" s="55"/>
    </row>
    <row r="88" spans="1:13" x14ac:dyDescent="0.25">
      <c r="A88" s="71"/>
      <c r="B88" s="71" t="s">
        <v>367</v>
      </c>
      <c r="C88" s="60">
        <v>16</v>
      </c>
      <c r="D88" s="48">
        <f t="shared" si="7"/>
        <v>64</v>
      </c>
      <c r="E88" s="48">
        <f t="shared" si="9"/>
        <v>64</v>
      </c>
      <c r="F88" s="48"/>
      <c r="G88" s="48"/>
      <c r="H88" s="63"/>
      <c r="I88" s="56"/>
      <c r="J88" s="56"/>
      <c r="K88" s="56"/>
      <c r="L88" s="56"/>
      <c r="M88" s="55"/>
    </row>
    <row r="89" spans="1:13" x14ac:dyDescent="0.25">
      <c r="A89" s="71"/>
      <c r="B89" s="71" t="s">
        <v>368</v>
      </c>
      <c r="C89" s="60">
        <v>12</v>
      </c>
      <c r="D89" s="48">
        <f t="shared" si="7"/>
        <v>48</v>
      </c>
      <c r="E89" s="48">
        <f t="shared" si="9"/>
        <v>48</v>
      </c>
      <c r="F89" s="48"/>
      <c r="G89" s="48"/>
      <c r="H89" s="63"/>
      <c r="I89" s="56"/>
      <c r="J89" s="56"/>
      <c r="K89" s="56"/>
      <c r="L89" s="56"/>
      <c r="M89" s="55"/>
    </row>
    <row r="90" spans="1:13" x14ac:dyDescent="0.25">
      <c r="A90" s="71"/>
      <c r="B90" s="71" t="s">
        <v>299</v>
      </c>
      <c r="C90" s="60">
        <v>8</v>
      </c>
      <c r="D90" s="48">
        <f t="shared" si="7"/>
        <v>32</v>
      </c>
      <c r="E90" s="48"/>
      <c r="F90" s="48"/>
      <c r="G90" s="48">
        <f>D90</f>
        <v>32</v>
      </c>
      <c r="H90" s="63"/>
      <c r="I90" s="56"/>
      <c r="J90" s="56"/>
      <c r="K90" s="56"/>
      <c r="L90" s="56"/>
      <c r="M90" s="55"/>
    </row>
    <row r="91" spans="1:13" ht="13.15" customHeight="1" x14ac:dyDescent="0.25">
      <c r="A91" s="159" t="s">
        <v>369</v>
      </c>
      <c r="B91" s="69" t="s">
        <v>370</v>
      </c>
      <c r="C91" s="60">
        <v>4</v>
      </c>
      <c r="D91" s="48">
        <f t="shared" si="7"/>
        <v>16</v>
      </c>
      <c r="E91" s="48">
        <f>D91</f>
        <v>16</v>
      </c>
      <c r="F91" s="48"/>
      <c r="G91" s="48"/>
      <c r="H91" s="63"/>
      <c r="I91" s="56"/>
      <c r="J91" s="56"/>
      <c r="K91" s="56"/>
      <c r="L91" s="56"/>
      <c r="M91" s="55"/>
    </row>
    <row r="92" spans="1:13" x14ac:dyDescent="0.25">
      <c r="A92" s="159"/>
      <c r="B92" s="69" t="s">
        <v>371</v>
      </c>
      <c r="C92" s="60">
        <v>0</v>
      </c>
      <c r="D92" s="48">
        <f t="shared" si="7"/>
        <v>0</v>
      </c>
      <c r="E92" s="48">
        <f>D92</f>
        <v>0</v>
      </c>
      <c r="F92" s="48"/>
      <c r="G92" s="48"/>
      <c r="H92" s="63" t="s">
        <v>424</v>
      </c>
      <c r="I92" s="56"/>
      <c r="J92" s="56"/>
      <c r="K92" s="56"/>
      <c r="L92" s="56"/>
      <c r="M92" s="55"/>
    </row>
    <row r="93" spans="1:13" x14ac:dyDescent="0.25">
      <c r="A93" s="159"/>
      <c r="B93" s="69" t="s">
        <v>373</v>
      </c>
      <c r="C93" s="60">
        <v>4</v>
      </c>
      <c r="D93" s="48">
        <f t="shared" si="7"/>
        <v>16</v>
      </c>
      <c r="E93" s="48">
        <f>D93</f>
        <v>16</v>
      </c>
      <c r="F93" s="48"/>
      <c r="G93" s="48"/>
      <c r="H93" s="63"/>
      <c r="I93" s="56"/>
      <c r="J93" s="56"/>
      <c r="K93" s="56"/>
      <c r="L93" s="56"/>
      <c r="M93" s="55"/>
    </row>
    <row r="94" spans="1:13" x14ac:dyDescent="0.25">
      <c r="A94" s="71"/>
      <c r="B94" s="69" t="s">
        <v>374</v>
      </c>
      <c r="C94" s="60">
        <v>2</v>
      </c>
      <c r="D94" s="48">
        <f t="shared" si="7"/>
        <v>8</v>
      </c>
      <c r="E94" s="48">
        <f>D94</f>
        <v>8</v>
      </c>
      <c r="F94" s="48"/>
      <c r="G94" s="48"/>
      <c r="H94" s="63"/>
      <c r="I94" s="56"/>
      <c r="J94" s="56"/>
      <c r="K94" s="56"/>
      <c r="L94" s="56"/>
      <c r="M94" s="55"/>
    </row>
    <row r="95" spans="1:13" x14ac:dyDescent="0.25">
      <c r="A95" s="71"/>
      <c r="B95" s="69" t="s">
        <v>299</v>
      </c>
      <c r="C95" s="60">
        <v>10</v>
      </c>
      <c r="D95" s="48">
        <f t="shared" si="7"/>
        <v>40</v>
      </c>
      <c r="E95" s="48"/>
      <c r="F95" s="48"/>
      <c r="G95" s="48">
        <f>D95</f>
        <v>40</v>
      </c>
      <c r="H95" s="63"/>
      <c r="I95" s="56"/>
      <c r="J95" s="56"/>
      <c r="K95" s="56"/>
      <c r="L95" s="56"/>
      <c r="M95" s="55"/>
    </row>
    <row r="96" spans="1:13" ht="13.9" customHeight="1" x14ac:dyDescent="0.25">
      <c r="A96" s="155" t="s">
        <v>375</v>
      </c>
      <c r="B96" s="69" t="s">
        <v>376</v>
      </c>
      <c r="C96" s="60">
        <v>0</v>
      </c>
      <c r="D96" s="48">
        <f>C96*yy*oo</f>
        <v>0</v>
      </c>
      <c r="E96" s="48">
        <f>D96</f>
        <v>0</v>
      </c>
      <c r="F96" s="48"/>
      <c r="G96" s="48"/>
      <c r="H96" s="63" t="s">
        <v>377</v>
      </c>
      <c r="I96" s="56"/>
      <c r="J96" s="56"/>
      <c r="K96" s="56"/>
      <c r="L96" s="56"/>
      <c r="M96" s="55"/>
    </row>
    <row r="97" spans="1:13" x14ac:dyDescent="0.25">
      <c r="A97" s="155"/>
      <c r="B97" s="69" t="s">
        <v>378</v>
      </c>
      <c r="C97" s="60">
        <v>0</v>
      </c>
      <c r="D97" s="48">
        <f>C97*yy*oo</f>
        <v>0</v>
      </c>
      <c r="E97" s="48">
        <f>D97</f>
        <v>0</v>
      </c>
      <c r="F97" s="48"/>
      <c r="G97" s="48"/>
      <c r="H97" s="63" t="s">
        <v>377</v>
      </c>
      <c r="I97" s="56"/>
      <c r="J97" s="56"/>
      <c r="K97" s="56"/>
      <c r="L97" s="56"/>
      <c r="M97" s="55"/>
    </row>
    <row r="98" spans="1:13" x14ac:dyDescent="0.25">
      <c r="A98" s="155"/>
      <c r="B98" s="69" t="s">
        <v>379</v>
      </c>
      <c r="C98" s="60">
        <v>0</v>
      </c>
      <c r="D98" s="60">
        <f>C98*zz*oo</f>
        <v>0</v>
      </c>
      <c r="E98" s="48">
        <f>D98</f>
        <v>0</v>
      </c>
      <c r="F98" s="60"/>
      <c r="G98" s="60"/>
      <c r="H98" s="63" t="s">
        <v>377</v>
      </c>
      <c r="I98" s="56"/>
      <c r="J98" s="56"/>
      <c r="K98" s="56"/>
      <c r="L98" s="56"/>
      <c r="M98" s="55"/>
    </row>
    <row r="99" spans="1:13" x14ac:dyDescent="0.25">
      <c r="A99" s="70"/>
      <c r="B99" s="69" t="s">
        <v>380</v>
      </c>
      <c r="C99" s="60">
        <v>0</v>
      </c>
      <c r="D99" s="48">
        <f>C99*yy*oo</f>
        <v>0</v>
      </c>
      <c r="E99" s="48">
        <f>D99</f>
        <v>0</v>
      </c>
      <c r="F99" s="48"/>
      <c r="G99" s="48"/>
      <c r="H99" s="63" t="s">
        <v>377</v>
      </c>
      <c r="I99" s="56"/>
      <c r="J99" s="56"/>
      <c r="K99" s="56"/>
      <c r="L99" s="56"/>
      <c r="M99" s="55"/>
    </row>
    <row r="100" spans="1:13" x14ac:dyDescent="0.25">
      <c r="A100" s="70"/>
      <c r="B100" s="69" t="s">
        <v>299</v>
      </c>
      <c r="C100" s="60">
        <v>0</v>
      </c>
      <c r="D100" s="48">
        <f>C100*yy</f>
        <v>0</v>
      </c>
      <c r="E100" s="48"/>
      <c r="F100" s="48"/>
      <c r="G100" s="48">
        <f>D100</f>
        <v>0</v>
      </c>
      <c r="H100" s="63"/>
      <c r="I100" s="56"/>
      <c r="J100" s="56"/>
      <c r="K100" s="56"/>
      <c r="L100" s="56"/>
      <c r="M100" s="55"/>
    </row>
    <row r="101" spans="1:13" ht="12.75" customHeight="1" x14ac:dyDescent="0.25">
      <c r="A101" s="155" t="s">
        <v>381</v>
      </c>
      <c r="B101" s="69" t="s">
        <v>382</v>
      </c>
      <c r="C101" s="60">
        <v>0</v>
      </c>
      <c r="D101" s="48">
        <f>C101*yy*oo</f>
        <v>0</v>
      </c>
      <c r="E101" s="48">
        <f>D101</f>
        <v>0</v>
      </c>
      <c r="F101" s="48"/>
      <c r="G101" s="48"/>
      <c r="H101" s="63"/>
      <c r="I101" s="56"/>
      <c r="J101" s="56"/>
      <c r="K101" s="56"/>
      <c r="L101" s="56"/>
      <c r="M101" s="55"/>
    </row>
    <row r="102" spans="1:13" x14ac:dyDescent="0.25">
      <c r="A102" s="155"/>
      <c r="B102" s="69" t="s">
        <v>383</v>
      </c>
      <c r="C102" s="60">
        <v>0</v>
      </c>
      <c r="D102" s="48">
        <f>C102*yy*oo</f>
        <v>0</v>
      </c>
      <c r="E102" s="48">
        <f>D102</f>
        <v>0</v>
      </c>
      <c r="F102" s="48"/>
      <c r="G102" s="48"/>
      <c r="H102" s="63"/>
      <c r="I102" s="56"/>
      <c r="J102" s="56"/>
      <c r="K102" s="56"/>
      <c r="L102" s="56"/>
      <c r="M102" s="55"/>
    </row>
    <row r="103" spans="1:13" x14ac:dyDescent="0.25">
      <c r="A103" s="155"/>
      <c r="B103" s="69" t="s">
        <v>384</v>
      </c>
      <c r="C103" s="60">
        <v>0</v>
      </c>
      <c r="D103" s="48">
        <f>C103*yy*oo</f>
        <v>0</v>
      </c>
      <c r="E103" s="48">
        <f>D103</f>
        <v>0</v>
      </c>
      <c r="F103" s="48"/>
      <c r="G103" s="48"/>
      <c r="H103" s="63"/>
      <c r="I103" s="56"/>
      <c r="J103" s="56"/>
      <c r="K103" s="56"/>
      <c r="L103" s="56"/>
      <c r="M103" s="55"/>
    </row>
    <row r="104" spans="1:13" x14ac:dyDescent="0.25">
      <c r="A104" s="70"/>
      <c r="B104" s="69" t="s">
        <v>385</v>
      </c>
      <c r="C104" s="60">
        <v>0</v>
      </c>
      <c r="D104" s="48">
        <f>C104*yy*oo</f>
        <v>0</v>
      </c>
      <c r="E104" s="48">
        <f>D104</f>
        <v>0</v>
      </c>
      <c r="F104" s="48"/>
      <c r="G104" s="48"/>
      <c r="H104" s="63"/>
      <c r="I104" s="56"/>
      <c r="J104" s="56"/>
      <c r="K104" s="56"/>
      <c r="L104" s="56"/>
      <c r="M104" s="55"/>
    </row>
    <row r="105" spans="1:13" x14ac:dyDescent="0.25">
      <c r="A105" s="70"/>
      <c r="B105" s="69" t="s">
        <v>299</v>
      </c>
      <c r="C105" s="60">
        <v>0</v>
      </c>
      <c r="D105" s="48">
        <f>C105*yy*oo</f>
        <v>0</v>
      </c>
      <c r="E105" s="48"/>
      <c r="F105" s="48"/>
      <c r="G105" s="48">
        <f>D105</f>
        <v>0</v>
      </c>
      <c r="H105" s="63"/>
      <c r="I105" s="56"/>
      <c r="J105" s="56"/>
      <c r="K105" s="56"/>
      <c r="L105" s="56"/>
      <c r="M105" s="55"/>
    </row>
    <row r="106" spans="1:13" ht="12.75" customHeight="1" x14ac:dyDescent="0.25">
      <c r="A106" s="158" t="s">
        <v>386</v>
      </c>
      <c r="B106" s="67" t="s">
        <v>387</v>
      </c>
      <c r="C106" s="60">
        <f>50*0</f>
        <v>0</v>
      </c>
      <c r="D106" s="48">
        <f t="shared" ref="D106:D112" si="10">C106*yy</f>
        <v>0</v>
      </c>
      <c r="E106" s="48"/>
      <c r="F106" s="48">
        <f t="shared" ref="F106:F112" si="11">D106</f>
        <v>0</v>
      </c>
      <c r="G106" s="48"/>
      <c r="H106" s="63"/>
      <c r="I106" s="56"/>
      <c r="J106" s="56"/>
      <c r="K106" s="56"/>
      <c r="L106" s="56"/>
      <c r="M106" s="55"/>
    </row>
    <row r="107" spans="1:13" x14ac:dyDescent="0.25">
      <c r="A107" s="158"/>
      <c r="B107" s="67" t="s">
        <v>388</v>
      </c>
      <c r="C107" s="60">
        <f>50*0</f>
        <v>0</v>
      </c>
      <c r="D107" s="48">
        <f t="shared" si="10"/>
        <v>0</v>
      </c>
      <c r="E107" s="48"/>
      <c r="F107" s="48">
        <f t="shared" si="11"/>
        <v>0</v>
      </c>
      <c r="G107" s="48"/>
      <c r="H107" s="63"/>
      <c r="I107" s="56"/>
      <c r="J107" s="56"/>
      <c r="K107" s="56"/>
      <c r="L107" s="56"/>
      <c r="M107" s="55"/>
    </row>
    <row r="108" spans="1:13" x14ac:dyDescent="0.25">
      <c r="A108" s="68"/>
      <c r="B108" s="67" t="s">
        <v>389</v>
      </c>
      <c r="C108" s="60">
        <f>300*0</f>
        <v>0</v>
      </c>
      <c r="D108" s="48">
        <f t="shared" si="10"/>
        <v>0</v>
      </c>
      <c r="E108" s="48"/>
      <c r="F108" s="48">
        <f t="shared" si="11"/>
        <v>0</v>
      </c>
      <c r="G108" s="48"/>
      <c r="H108" s="63"/>
      <c r="I108" s="56"/>
      <c r="J108" s="56"/>
      <c r="K108" s="56"/>
      <c r="L108" s="56"/>
      <c r="M108" s="55"/>
    </row>
    <row r="109" spans="1:13" x14ac:dyDescent="0.25">
      <c r="A109" s="68"/>
      <c r="B109" s="67" t="s">
        <v>390</v>
      </c>
      <c r="C109" s="60">
        <f>24*0</f>
        <v>0</v>
      </c>
      <c r="D109" s="48">
        <f t="shared" si="10"/>
        <v>0</v>
      </c>
      <c r="E109" s="48"/>
      <c r="F109" s="48">
        <f t="shared" si="11"/>
        <v>0</v>
      </c>
      <c r="G109" s="48"/>
      <c r="H109" s="63"/>
      <c r="I109" s="56"/>
      <c r="J109" s="56"/>
      <c r="K109" s="56"/>
      <c r="L109" s="56"/>
      <c r="M109" s="55"/>
    </row>
    <row r="110" spans="1:13" x14ac:dyDescent="0.25">
      <c r="A110" s="66" t="s">
        <v>316</v>
      </c>
      <c r="B110" s="65" t="s">
        <v>391</v>
      </c>
      <c r="C110" s="60">
        <f>155*0</f>
        <v>0</v>
      </c>
      <c r="D110" s="48">
        <f t="shared" si="10"/>
        <v>0</v>
      </c>
      <c r="E110" s="48"/>
      <c r="F110" s="48">
        <f t="shared" si="11"/>
        <v>0</v>
      </c>
      <c r="G110" s="48"/>
      <c r="H110" s="63"/>
      <c r="I110" s="56"/>
      <c r="J110" s="56"/>
      <c r="K110" s="56"/>
      <c r="L110" s="56"/>
      <c r="M110" s="55"/>
    </row>
    <row r="111" spans="1:13" ht="25" x14ac:dyDescent="0.25">
      <c r="A111" s="64" t="s">
        <v>392</v>
      </c>
      <c r="B111" s="62" t="s">
        <v>393</v>
      </c>
      <c r="C111" s="60">
        <f>140*0</f>
        <v>0</v>
      </c>
      <c r="D111" s="48">
        <f t="shared" si="10"/>
        <v>0</v>
      </c>
      <c r="E111" s="48"/>
      <c r="F111" s="48">
        <f t="shared" si="11"/>
        <v>0</v>
      </c>
      <c r="G111" s="48"/>
      <c r="H111" s="63"/>
      <c r="I111" s="56"/>
      <c r="J111" s="56"/>
      <c r="K111" s="56"/>
      <c r="L111" s="56"/>
      <c r="M111" s="55"/>
    </row>
    <row r="112" spans="1:13" ht="25" x14ac:dyDescent="0.25">
      <c r="A112" s="64" t="s">
        <v>392</v>
      </c>
      <c r="B112" s="62" t="s">
        <v>394</v>
      </c>
      <c r="C112" s="60">
        <f>140*0</f>
        <v>0</v>
      </c>
      <c r="D112" s="48">
        <f t="shared" si="10"/>
        <v>0</v>
      </c>
      <c r="E112" s="48"/>
      <c r="F112" s="48">
        <f t="shared" si="11"/>
        <v>0</v>
      </c>
      <c r="G112" s="48"/>
      <c r="H112" s="63"/>
      <c r="I112" s="56"/>
      <c r="J112" s="56"/>
      <c r="K112" s="56"/>
      <c r="L112" s="56"/>
      <c r="M112" s="55"/>
    </row>
    <row r="113" spans="1:14" x14ac:dyDescent="0.25">
      <c r="A113" s="62"/>
      <c r="B113" s="62" t="s">
        <v>395</v>
      </c>
      <c r="C113" s="60">
        <v>8</v>
      </c>
      <c r="D113" s="60">
        <f>C113*zz*yy</f>
        <v>192</v>
      </c>
      <c r="E113" s="48">
        <f>D113</f>
        <v>192</v>
      </c>
      <c r="F113" s="60"/>
      <c r="G113" s="60"/>
      <c r="H113" s="59"/>
      <c r="I113" s="56"/>
      <c r="J113" s="56"/>
      <c r="K113" s="56"/>
      <c r="L113" s="56"/>
      <c r="M113" s="55"/>
    </row>
    <row r="114" spans="1:14" ht="25" x14ac:dyDescent="0.25">
      <c r="A114" s="61" t="s">
        <v>396</v>
      </c>
      <c r="B114" s="61" t="s">
        <v>397</v>
      </c>
      <c r="C114" s="60">
        <f>48*0</f>
        <v>0</v>
      </c>
      <c r="D114" s="60">
        <f>IF(vv=1,48*yy,0*yy)</f>
        <v>0</v>
      </c>
      <c r="E114" s="48">
        <f>D114</f>
        <v>0</v>
      </c>
      <c r="F114" s="60"/>
      <c r="G114" s="60"/>
      <c r="H114" s="59"/>
      <c r="I114" s="56"/>
      <c r="J114" s="56"/>
      <c r="K114" s="56"/>
      <c r="L114" s="56"/>
      <c r="M114" s="55"/>
    </row>
    <row r="115" spans="1:14" ht="37.5" x14ac:dyDescent="0.25">
      <c r="A115" s="61" t="s">
        <v>398</v>
      </c>
      <c r="B115" s="61" t="s">
        <v>397</v>
      </c>
      <c r="C115" s="60">
        <f>48*0</f>
        <v>0</v>
      </c>
      <c r="D115" s="60">
        <f>IF(vv=1,48*yy,0*yy)</f>
        <v>0</v>
      </c>
      <c r="E115" s="48">
        <f>D115</f>
        <v>0</v>
      </c>
      <c r="F115" s="60"/>
      <c r="G115" s="60"/>
      <c r="H115" s="59"/>
      <c r="I115" s="56"/>
      <c r="J115" s="56"/>
      <c r="K115" s="56"/>
      <c r="L115" s="56"/>
      <c r="M115" s="55"/>
    </row>
    <row r="116" spans="1:14" x14ac:dyDescent="0.25">
      <c r="A116" s="55"/>
      <c r="B116" s="55"/>
      <c r="C116" s="58"/>
      <c r="D116" s="58"/>
      <c r="E116" s="58"/>
      <c r="F116" s="58"/>
      <c r="G116" s="58"/>
      <c r="H116" s="57"/>
      <c r="I116" s="56"/>
      <c r="J116" s="56"/>
      <c r="K116" s="56"/>
      <c r="L116" s="56"/>
      <c r="M116" s="55"/>
    </row>
    <row r="117" spans="1:14" ht="13" x14ac:dyDescent="0.3">
      <c r="A117" s="49" t="s">
        <v>197</v>
      </c>
      <c r="D117" s="54"/>
      <c r="E117" s="54">
        <f>SUM(E2:E115)</f>
        <v>1294.4000000000001</v>
      </c>
      <c r="F117" s="54">
        <f>SUM(F2:F115)</f>
        <v>1413.6</v>
      </c>
      <c r="G117" s="54">
        <f>SUM(G2:G115)</f>
        <v>696</v>
      </c>
      <c r="H117" s="53"/>
      <c r="I117" s="52"/>
      <c r="J117" s="52"/>
      <c r="K117" s="52"/>
      <c r="L117" s="52"/>
      <c r="M117" s="51"/>
      <c r="N117" s="50"/>
    </row>
    <row r="118" spans="1:14" ht="13" x14ac:dyDescent="0.3">
      <c r="M118" s="49"/>
    </row>
    <row r="119" spans="1:14" x14ac:dyDescent="0.25">
      <c r="A119" s="43" t="s">
        <v>399</v>
      </c>
      <c r="B119" s="43" t="s">
        <v>400</v>
      </c>
      <c r="C119" s="46">
        <f>SUM(E2:E15)</f>
        <v>66.400000000000006</v>
      </c>
      <c r="N119" s="47"/>
    </row>
    <row r="120" spans="1:14" x14ac:dyDescent="0.25">
      <c r="B120" s="43" t="s">
        <v>401</v>
      </c>
      <c r="C120" s="46">
        <f>SUM(E16:E27)</f>
        <v>178.4</v>
      </c>
    </row>
    <row r="121" spans="1:14" x14ac:dyDescent="0.25">
      <c r="B121" s="43" t="s">
        <v>402</v>
      </c>
      <c r="C121" s="46">
        <f>SUM(E28)</f>
        <v>64</v>
      </c>
    </row>
    <row r="122" spans="1:14" x14ac:dyDescent="0.25">
      <c r="B122" s="43" t="s">
        <v>403</v>
      </c>
      <c r="C122" s="46">
        <f>SUM(E29:E31)</f>
        <v>40</v>
      </c>
    </row>
    <row r="123" spans="1:14" x14ac:dyDescent="0.25">
      <c r="B123" s="43" t="s">
        <v>404</v>
      </c>
      <c r="C123" s="46">
        <f>SUM(E32:E51)</f>
        <v>20.8</v>
      </c>
    </row>
    <row r="124" spans="1:14" x14ac:dyDescent="0.25">
      <c r="B124" s="43" t="s">
        <v>405</v>
      </c>
      <c r="C124" s="46">
        <f>SUM(E52:E58)</f>
        <v>48</v>
      </c>
    </row>
    <row r="125" spans="1:14" x14ac:dyDescent="0.25">
      <c r="B125" s="43" t="s">
        <v>406</v>
      </c>
      <c r="C125" s="46">
        <f>SUM(E59:E60)</f>
        <v>20.8</v>
      </c>
    </row>
    <row r="126" spans="1:14" x14ac:dyDescent="0.25">
      <c r="B126" s="43" t="s">
        <v>407</v>
      </c>
      <c r="C126" s="46">
        <f>SUM(E61:E68)</f>
        <v>120</v>
      </c>
    </row>
    <row r="127" spans="1:14" x14ac:dyDescent="0.25">
      <c r="B127" s="43" t="s">
        <v>408</v>
      </c>
      <c r="C127" s="46">
        <f>SUM(E69:E71)</f>
        <v>8</v>
      </c>
    </row>
    <row r="128" spans="1:14" x14ac:dyDescent="0.25">
      <c r="B128" s="43" t="s">
        <v>409</v>
      </c>
      <c r="C128" s="46">
        <f>SUM(E72:E80)+SUM(E91:E105)</f>
        <v>272</v>
      </c>
    </row>
    <row r="129" spans="1:3" x14ac:dyDescent="0.25">
      <c r="B129" s="43" t="s">
        <v>410</v>
      </c>
      <c r="C129" s="46">
        <f>SUM(E81:E90)</f>
        <v>264</v>
      </c>
    </row>
    <row r="130" spans="1:3" x14ac:dyDescent="0.25">
      <c r="B130" s="43" t="s">
        <v>411</v>
      </c>
      <c r="C130" s="46">
        <f>SUM(E113)</f>
        <v>192</v>
      </c>
    </row>
    <row r="132" spans="1:3" x14ac:dyDescent="0.25">
      <c r="A132" s="43" t="s">
        <v>412</v>
      </c>
      <c r="B132" s="43" t="s">
        <v>413</v>
      </c>
      <c r="C132" s="46">
        <f>SUM(F32:F42)</f>
        <v>605.59999999999991</v>
      </c>
    </row>
    <row r="133" spans="1:3" x14ac:dyDescent="0.25">
      <c r="B133" s="43" t="s">
        <v>404</v>
      </c>
      <c r="C133" s="46">
        <f>SUM(F43:F50)</f>
        <v>456</v>
      </c>
    </row>
    <row r="134" spans="1:3" x14ac:dyDescent="0.25">
      <c r="B134" s="43" t="s">
        <v>414</v>
      </c>
      <c r="C134" s="46">
        <f>SUM(F55)</f>
        <v>256</v>
      </c>
    </row>
    <row r="135" spans="1:3" x14ac:dyDescent="0.25">
      <c r="B135" s="43" t="s">
        <v>415</v>
      </c>
      <c r="C135" s="46">
        <f>SUM(F53)</f>
        <v>96</v>
      </c>
    </row>
    <row r="137" spans="1:3" x14ac:dyDescent="0.25">
      <c r="A137" s="43" t="s">
        <v>416</v>
      </c>
      <c r="B137" s="43" t="s">
        <v>400</v>
      </c>
      <c r="C137" s="46">
        <f>SUM(G15)</f>
        <v>32</v>
      </c>
    </row>
    <row r="138" spans="1:3" x14ac:dyDescent="0.25">
      <c r="B138" s="43" t="s">
        <v>401</v>
      </c>
      <c r="C138" s="46">
        <f>SUM(G27)</f>
        <v>140</v>
      </c>
    </row>
    <row r="139" spans="1:3" x14ac:dyDescent="0.25">
      <c r="B139" s="43" t="s">
        <v>404</v>
      </c>
      <c r="C139" s="46">
        <f>SUM(G54)</f>
        <v>384</v>
      </c>
    </row>
    <row r="140" spans="1:3" x14ac:dyDescent="0.25">
      <c r="B140" s="43" t="s">
        <v>406</v>
      </c>
      <c r="C140" s="46">
        <f>SUM(G60)</f>
        <v>4</v>
      </c>
    </row>
    <row r="141" spans="1:3" x14ac:dyDescent="0.25">
      <c r="B141" s="43" t="s">
        <v>407</v>
      </c>
      <c r="C141" s="46">
        <f>SUM(G68)</f>
        <v>32</v>
      </c>
    </row>
    <row r="142" spans="1:3" x14ac:dyDescent="0.25">
      <c r="B142" s="43" t="s">
        <v>409</v>
      </c>
      <c r="C142" s="46">
        <f>G80+G95</f>
        <v>72</v>
      </c>
    </row>
    <row r="143" spans="1:3" x14ac:dyDescent="0.25">
      <c r="B143" s="43" t="s">
        <v>410</v>
      </c>
      <c r="C143" s="46">
        <f>G90</f>
        <v>32</v>
      </c>
    </row>
  </sheetData>
  <mergeCells count="8">
    <mergeCell ref="A101:A103"/>
    <mergeCell ref="A106:A107"/>
    <mergeCell ref="A2:A3"/>
    <mergeCell ref="A32:A33"/>
    <mergeCell ref="A59:A60"/>
    <mergeCell ref="A72:A73"/>
    <mergeCell ref="A91:A93"/>
    <mergeCell ref="A96:A98"/>
  </mergeCells>
  <pageMargins left="0.7" right="0.7" top="0.75" bottom="0.75" header="0.3" footer="0.3"/>
  <pageSetup paperSize="9" orientation="portrait" verticalDpi="1200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ABD008DC424046977888C6AEFA6522" ma:contentTypeVersion="15" ma:contentTypeDescription="Create a new document." ma:contentTypeScope="" ma:versionID="87861910e53ddb68a6247e3aa0723402">
  <xsd:schema xmlns:xsd="http://www.w3.org/2001/XMLSchema" xmlns:xs="http://www.w3.org/2001/XMLSchema" xmlns:p="http://schemas.microsoft.com/office/2006/metadata/properties" xmlns:ns2="7ccb20a1-8d86-4e52-b212-55c1d36c2622" xmlns:ns3="0b7c19e9-bb2f-4c58-b1e1-dfa862ee4540" targetNamespace="http://schemas.microsoft.com/office/2006/metadata/properties" ma:root="true" ma:fieldsID="4ef91a7a92ddc0783a23193e6ec0c0b7" ns2:_="" ns3:_="">
    <xsd:import namespace="7ccb20a1-8d86-4e52-b212-55c1d36c2622"/>
    <xsd:import namespace="0b7c19e9-bb2f-4c58-b1e1-dfa862ee4540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b20a1-8d86-4e52-b212-55c1d36c2622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fault="Created" ma:format="Dropdown" ma:internalName="Status">
      <xsd:simpleType>
        <xsd:restriction base="dms:Choice">
          <xsd:enumeration value="Created"/>
          <xsd:enumeration value="Draft"/>
          <xsd:enumeration value="Ready for review"/>
          <xsd:enumeration value="Final"/>
          <xsd:enumeration value="Signed"/>
          <xsd:enumeration value="Obsolete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c19e9-bb2f-4c58-b1e1-dfa862ee4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ccb20a1-8d86-4e52-b212-55c1d36c2622">Created</Status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7E0225E-FD01-4491-8EF1-08CC3AE982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F14347-1B8B-4991-9517-6CDB96023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cb20a1-8d86-4e52-b212-55c1d36c2622"/>
    <ds:schemaRef ds:uri="0b7c19e9-bb2f-4c58-b1e1-dfa862ee4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E934DC-92F6-497E-ABC2-5743AE83F9CC}">
  <ds:schemaRefs>
    <ds:schemaRef ds:uri="0b7c19e9-bb2f-4c58-b1e1-dfa862ee4540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ccb20a1-8d86-4e52-b212-55c1d36c2622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01F943F-CBEE-4A2A-A982-011083C5546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46</vt:i4>
      </vt:variant>
    </vt:vector>
  </HeadingPairs>
  <TitlesOfParts>
    <vt:vector size="52" baseType="lpstr">
      <vt:lpstr>PM &amp; Common</vt:lpstr>
      <vt:lpstr>Workload Histogram</vt:lpstr>
      <vt:lpstr>DK Project Travel Cost</vt:lpstr>
      <vt:lpstr>GIS TPM+Eng Overview</vt:lpstr>
      <vt:lpstr>66kV GIS TPM+Eng</vt:lpstr>
      <vt:lpstr>275kV GIS TPM+Eng</vt:lpstr>
      <vt:lpstr>a</vt:lpstr>
      <vt:lpstr>aa</vt:lpstr>
      <vt:lpstr>b</vt:lpstr>
      <vt:lpstr>bb</vt:lpstr>
      <vt:lpstr>d</vt:lpstr>
      <vt:lpstr>dd</vt:lpstr>
      <vt:lpstr>'275kV GIS TPM+Eng'!Doc_Controller</vt:lpstr>
      <vt:lpstr>Doc_Controller</vt:lpstr>
      <vt:lpstr>e</vt:lpstr>
      <vt:lpstr>ee</vt:lpstr>
      <vt:lpstr>'275kV GIS TPM+Eng'!ENG_Hours</vt:lpstr>
      <vt:lpstr>'66kV GIS TPM+Eng'!ENG_Hours</vt:lpstr>
      <vt:lpstr>ENG_Hours</vt:lpstr>
      <vt:lpstr>'275kV GIS TPM+Eng'!Engineer</vt:lpstr>
      <vt:lpstr>Engineer</vt:lpstr>
      <vt:lpstr>f</vt:lpstr>
      <vt:lpstr>ff</vt:lpstr>
      <vt:lpstr>g</vt:lpstr>
      <vt:lpstr>gg</vt:lpstr>
      <vt:lpstr>h</vt:lpstr>
      <vt:lpstr>hh</vt:lpstr>
      <vt:lpstr>i</vt:lpstr>
      <vt:lpstr>ii</vt:lpstr>
      <vt:lpstr>j</vt:lpstr>
      <vt:lpstr>jj</vt:lpstr>
      <vt:lpstr>k</vt:lpstr>
      <vt:lpstr>kk</vt:lpstr>
      <vt:lpstr>o</vt:lpstr>
      <vt:lpstr>oo</vt:lpstr>
      <vt:lpstr>'GIS TPM+Eng Overview'!Print_Area</vt:lpstr>
      <vt:lpstr>q</vt:lpstr>
      <vt:lpstr>qq</vt:lpstr>
      <vt:lpstr>'275kV GIS TPM+Eng'!TPM</vt:lpstr>
      <vt:lpstr>TPM</vt:lpstr>
      <vt:lpstr>u</vt:lpstr>
      <vt:lpstr>uu</vt:lpstr>
      <vt:lpstr>v</vt:lpstr>
      <vt:lpstr>vv</vt:lpstr>
      <vt:lpstr>w</vt:lpstr>
      <vt:lpstr>ww</vt:lpstr>
      <vt:lpstr>x</vt:lpstr>
      <vt:lpstr>xx</vt:lpstr>
      <vt:lpstr>y</vt:lpstr>
      <vt:lpstr>yy</vt:lpstr>
      <vt:lpstr>z</vt:lpstr>
      <vt:lpstr>zz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Thodsen, Christian (RC-DK EM PM)</dc:creator>
  <cp:keywords>C_Restricted</cp:keywords>
  <dc:description/>
  <cp:lastModifiedBy>Løjstrup, Thomas Ninn</cp:lastModifiedBy>
  <cp:revision/>
  <cp:lastPrinted>2022-01-17T12:32:27Z</cp:lastPrinted>
  <dcterms:created xsi:type="dcterms:W3CDTF">2019-02-20T08:59:25Z</dcterms:created>
  <dcterms:modified xsi:type="dcterms:W3CDTF">2024-02-08T21:09:49Z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  <property fmtid="{D5CDD505-2E9C-101B-9397-08002B2CF9AE}" pid="3" name="sodocoClasLang">
    <vt:lpwstr>Restricted</vt:lpwstr>
  </property>
  <property fmtid="{D5CDD505-2E9C-101B-9397-08002B2CF9AE}" pid="4" name="sodocoClasLangId">
    <vt:i4>0</vt:i4>
  </property>
  <property fmtid="{D5CDD505-2E9C-101B-9397-08002B2CF9AE}" pid="5" name="sodocoClasId">
    <vt:i4>1</vt:i4>
  </property>
  <property fmtid="{D5CDD505-2E9C-101B-9397-08002B2CF9AE}" pid="6" name="ContentTypeId">
    <vt:lpwstr>0x0101003CABD008DC424046977888C6AEFA6522</vt:lpwstr>
  </property>
  <property fmtid="{D5CDD505-2E9C-101B-9397-08002B2CF9AE}" pid="7" name="_NewReviewCycle">
    <vt:lpwstr/>
  </property>
  <property fmtid="{D5CDD505-2E9C-101B-9397-08002B2CF9AE}" pid="8" name="Document_Confidentiality">
    <vt:lpwstr>Restricted</vt:lpwstr>
  </property>
  <property fmtid="{D5CDD505-2E9C-101B-9397-08002B2CF9AE}" pid="9" name="Order">
    <vt:r8>460600</vt:r8>
  </property>
  <property fmtid="{D5CDD505-2E9C-101B-9397-08002B2CF9AE}" pid="10" name="_dlc_DocId">
    <vt:lpwstr>P3AHHY5CK6VC-837595742-26751</vt:lpwstr>
  </property>
  <property fmtid="{D5CDD505-2E9C-101B-9397-08002B2CF9AE}" pid="11" name="_dlc_DocIdItemGuid">
    <vt:lpwstr>9effc457-7664-4645-b8a2-e88aa5a4b9b0</vt:lpwstr>
  </property>
  <property fmtid="{D5CDD505-2E9C-101B-9397-08002B2CF9AE}" pid="12" name="_dlc_DocIdUrl">
    <vt:lpwstr>https://siemensenergyag.sharepoint.com/teams/P0014907/Cases/SE%20T21/_layouts/15/DocIdRedir.aspx?ID=P3AHHY5CK6VC-837595742-26751, P3AHHY5CK6VC-837595742-26751</vt:lpwstr>
  </property>
  <property fmtid="{D5CDD505-2E9C-101B-9397-08002B2CF9AE}" pid="13" name="MSIP_Label_36791f77-3d39-4d72-9277-ac879ec799ed_Enabled">
    <vt:lpwstr>true</vt:lpwstr>
  </property>
  <property fmtid="{D5CDD505-2E9C-101B-9397-08002B2CF9AE}" pid="14" name="MSIP_Label_36791f77-3d39-4d72-9277-ac879ec799ed_SetDate">
    <vt:lpwstr>2024-02-08T21:07:42Z</vt:lpwstr>
  </property>
  <property fmtid="{D5CDD505-2E9C-101B-9397-08002B2CF9AE}" pid="15" name="MSIP_Label_36791f77-3d39-4d72-9277-ac879ec799ed_Method">
    <vt:lpwstr>Standard</vt:lpwstr>
  </property>
  <property fmtid="{D5CDD505-2E9C-101B-9397-08002B2CF9AE}" pid="16" name="MSIP_Label_36791f77-3d39-4d72-9277-ac879ec799ed_Name">
    <vt:lpwstr>restricted-default</vt:lpwstr>
  </property>
  <property fmtid="{D5CDD505-2E9C-101B-9397-08002B2CF9AE}" pid="17" name="MSIP_Label_36791f77-3d39-4d72-9277-ac879ec799ed_SiteId">
    <vt:lpwstr>254ba93e-1f6f-48f3-90e6-e2766664b477</vt:lpwstr>
  </property>
  <property fmtid="{D5CDD505-2E9C-101B-9397-08002B2CF9AE}" pid="18" name="MSIP_Label_36791f77-3d39-4d72-9277-ac879ec799ed_ActionId">
    <vt:lpwstr>87dfa622-b05d-41de-8cdc-057c454be075</vt:lpwstr>
  </property>
  <property fmtid="{D5CDD505-2E9C-101B-9397-08002B2CF9AE}" pid="19" name="MSIP_Label_36791f77-3d39-4d72-9277-ac879ec799ed_ContentBits">
    <vt:lpwstr>0</vt:lpwstr>
  </property>
</Properties>
</file>